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SeanYoon\Downloads\"/>
    </mc:Choice>
  </mc:AlternateContent>
  <xr:revisionPtr revIDLastSave="0" documentId="13_ncr:1_{FBE901C6-FB7F-468E-99FF-72383962E86F}" xr6:coauthVersionLast="47" xr6:coauthVersionMax="47" xr10:uidLastSave="{00000000-0000-0000-0000-000000000000}"/>
  <bookViews>
    <workbookView xWindow="-105" yWindow="0" windowWidth="14610" windowHeight="15585" activeTab="3" xr2:uid="{BF7735C4-6E2C-4ABC-8932-660C59BFF8B5}"/>
  </bookViews>
  <sheets>
    <sheet name="Data" sheetId="2" r:id="rId1"/>
    <sheet name="Counttotal" sheetId="3" r:id="rId2"/>
    <sheet name="Mapping" sheetId="1" r:id="rId3"/>
    <sheet name="Summarize" sheetId="5" r:id="rId4"/>
    <sheet name="Dashboard" sheetId="7" r:id="rId5"/>
  </sheets>
  <definedNames>
    <definedName name="Categorize">_xlfn.LAMBDA(_xlpm.desc, _xlfn.XLOOKUP(TRUE, ISNUMBER(SEARCH(tblMap[Keyword], _xlpm.desc)), tblMap[Category], "Uncategorized"))</definedName>
    <definedName name="ExternalData_1" localSheetId="0" hidden="1">Data!$A$1:$G$305</definedName>
    <definedName name="ExternalData_2" localSheetId="1" hidden="1">Counttotal!$A$1:$C$36</definedName>
    <definedName name="Slicer_Categorized">#N/A</definedName>
    <definedName name="Slicer_Months__Start_of_Month">#N/A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H2" i="2" l="1" a="1"/>
  <c r="H2" i="2" s="1"/>
  <c r="D2" i="5" s="1" a="1"/>
  <c r="D2" i="5" s="1"/>
  <c r="H3" i="2" a="1"/>
  <c r="H3" i="2" s="1"/>
  <c r="H4" i="2" a="1"/>
  <c r="H4" i="2" s="1"/>
  <c r="H5" i="2" a="1"/>
  <c r="H5" i="2" s="1"/>
  <c r="H6" i="2" a="1"/>
  <c r="H6" i="2" s="1"/>
  <c r="H7" i="2" a="1"/>
  <c r="H7" i="2" s="1"/>
  <c r="H8" i="2" a="1"/>
  <c r="H8" i="2" s="1"/>
  <c r="H9" i="2" a="1"/>
  <c r="H9" i="2" s="1"/>
  <c r="H10" i="2" a="1"/>
  <c r="H10" i="2" s="1"/>
  <c r="H11" i="2" a="1"/>
  <c r="H11" i="2" s="1"/>
  <c r="H12" i="2" a="1"/>
  <c r="H12" i="2" s="1"/>
  <c r="H13" i="2" a="1"/>
  <c r="H13" i="2" s="1"/>
  <c r="H14" i="2" a="1"/>
  <c r="H14" i="2" s="1"/>
  <c r="H15" i="2" a="1"/>
  <c r="H15" i="2" s="1"/>
  <c r="H16" i="2" a="1"/>
  <c r="H16" i="2" s="1"/>
  <c r="H17" i="2" a="1"/>
  <c r="H17" i="2" s="1"/>
  <c r="H18" i="2" a="1"/>
  <c r="H18" i="2" s="1"/>
  <c r="H19" i="2" a="1"/>
  <c r="H19" i="2" s="1"/>
  <c r="H20" i="2" a="1"/>
  <c r="H20" i="2" s="1"/>
  <c r="H21" i="2" a="1"/>
  <c r="H21" i="2" s="1"/>
  <c r="H22" i="2" a="1"/>
  <c r="H22" i="2" s="1"/>
  <c r="H23" i="2" a="1"/>
  <c r="H23" i="2" s="1"/>
  <c r="H24" i="2" a="1"/>
  <c r="H24" i="2" s="1"/>
  <c r="H25" i="2" a="1"/>
  <c r="H25" i="2" s="1"/>
  <c r="H26" i="2" a="1"/>
  <c r="H26" i="2" s="1"/>
  <c r="H27" i="2" a="1"/>
  <c r="H27" i="2" s="1"/>
  <c r="H28" i="2" a="1"/>
  <c r="H28" i="2" s="1"/>
  <c r="H29" i="2" a="1"/>
  <c r="H29" i="2" s="1"/>
  <c r="H30" i="2" a="1"/>
  <c r="H30" i="2" s="1"/>
  <c r="H31" i="2" a="1"/>
  <c r="H31" i="2" s="1"/>
  <c r="H32" i="2" a="1"/>
  <c r="H32" i="2" s="1"/>
  <c r="H33" i="2" a="1"/>
  <c r="H33" i="2" s="1"/>
  <c r="H34" i="2" a="1"/>
  <c r="H34" i="2" s="1"/>
  <c r="H35" i="2" a="1"/>
  <c r="H35" i="2" s="1"/>
  <c r="H36" i="2" a="1"/>
  <c r="H36" i="2" s="1"/>
  <c r="H37" i="2" a="1"/>
  <c r="H37" i="2" s="1"/>
  <c r="H38" i="2" a="1"/>
  <c r="H38" i="2" s="1"/>
  <c r="H39" i="2" a="1"/>
  <c r="H39" i="2" s="1"/>
  <c r="H40" i="2" a="1"/>
  <c r="H40" i="2" s="1"/>
  <c r="H41" i="2" a="1"/>
  <c r="H41" i="2" s="1"/>
  <c r="H42" i="2" a="1"/>
  <c r="H42" i="2" s="1"/>
  <c r="H43" i="2" a="1"/>
  <c r="H43" i="2" s="1"/>
  <c r="H44" i="2" a="1"/>
  <c r="H44" i="2" s="1"/>
  <c r="H45" i="2" a="1"/>
  <c r="H45" i="2" s="1"/>
  <c r="H46" i="2" a="1"/>
  <c r="H46" i="2" s="1"/>
  <c r="H47" i="2" a="1"/>
  <c r="H47" i="2" s="1"/>
  <c r="H48" i="2" a="1"/>
  <c r="H48" i="2" s="1"/>
  <c r="H49" i="2" a="1"/>
  <c r="H49" i="2" s="1"/>
  <c r="H50" i="2" a="1"/>
  <c r="H50" i="2" s="1"/>
  <c r="H51" i="2" a="1"/>
  <c r="H51" i="2" s="1"/>
  <c r="H52" i="2" a="1"/>
  <c r="H52" i="2" s="1"/>
  <c r="H53" i="2" a="1"/>
  <c r="H53" i="2" s="1"/>
  <c r="H54" i="2" a="1"/>
  <c r="H54" i="2" s="1"/>
  <c r="H55" i="2" a="1"/>
  <c r="H55" i="2" s="1"/>
  <c r="H56" i="2" a="1"/>
  <c r="H56" i="2" s="1"/>
  <c r="H57" i="2" a="1"/>
  <c r="H57" i="2" s="1"/>
  <c r="H58" i="2" a="1"/>
  <c r="H58" i="2" s="1"/>
  <c r="H59" i="2" a="1"/>
  <c r="H59" i="2" s="1"/>
  <c r="H60" i="2" a="1"/>
  <c r="H60" i="2" s="1"/>
  <c r="H61" i="2" a="1"/>
  <c r="H61" i="2" s="1"/>
  <c r="H62" i="2" a="1"/>
  <c r="H62" i="2" s="1"/>
  <c r="H63" i="2" a="1"/>
  <c r="H63" i="2" s="1"/>
  <c r="H64" i="2" a="1"/>
  <c r="H64" i="2" s="1"/>
  <c r="H65" i="2" a="1"/>
  <c r="H65" i="2" s="1"/>
  <c r="H66" i="2" a="1"/>
  <c r="H66" i="2" s="1"/>
  <c r="H67" i="2" a="1"/>
  <c r="H67" i="2" s="1"/>
  <c r="H68" i="2" a="1"/>
  <c r="H68" i="2" s="1"/>
  <c r="H69" i="2" a="1"/>
  <c r="H69" i="2" s="1"/>
  <c r="H70" i="2" a="1"/>
  <c r="H70" i="2" s="1"/>
  <c r="H71" i="2" a="1"/>
  <c r="H71" i="2" s="1"/>
  <c r="H72" i="2" a="1"/>
  <c r="H72" i="2" s="1"/>
  <c r="H73" i="2" a="1"/>
  <c r="H73" i="2" s="1"/>
  <c r="H74" i="2" a="1"/>
  <c r="H74" i="2" s="1"/>
  <c r="H75" i="2" a="1"/>
  <c r="H75" i="2" s="1"/>
  <c r="H76" i="2" a="1"/>
  <c r="H76" i="2" s="1"/>
  <c r="H77" i="2" a="1"/>
  <c r="H77" i="2" s="1"/>
  <c r="H78" i="2" a="1"/>
  <c r="H78" i="2" s="1"/>
  <c r="H79" i="2" a="1"/>
  <c r="H79" i="2" s="1"/>
  <c r="H80" i="2" a="1"/>
  <c r="H80" i="2" s="1"/>
  <c r="H81" i="2" a="1"/>
  <c r="H81" i="2" s="1"/>
  <c r="H82" i="2" a="1"/>
  <c r="H82" i="2" s="1"/>
  <c r="H83" i="2" a="1"/>
  <c r="H83" i="2" s="1"/>
  <c r="H84" i="2" a="1"/>
  <c r="H84" i="2" s="1"/>
  <c r="H85" i="2" a="1"/>
  <c r="H85" i="2" s="1"/>
  <c r="H86" i="2" a="1"/>
  <c r="H86" i="2" s="1"/>
  <c r="H87" i="2" a="1"/>
  <c r="H87" i="2" s="1"/>
  <c r="H88" i="2" a="1"/>
  <c r="H88" i="2" s="1"/>
  <c r="H89" i="2" a="1"/>
  <c r="H89" i="2" s="1"/>
  <c r="H90" i="2" a="1"/>
  <c r="H90" i="2" s="1"/>
  <c r="H91" i="2" a="1"/>
  <c r="H91" i="2" s="1"/>
  <c r="H92" i="2" a="1"/>
  <c r="H92" i="2" s="1"/>
  <c r="H93" i="2" a="1"/>
  <c r="H93" i="2" s="1"/>
  <c r="H94" i="2" a="1"/>
  <c r="H94" i="2" s="1"/>
  <c r="H95" i="2" a="1"/>
  <c r="H95" i="2" s="1"/>
  <c r="H96" i="2" a="1"/>
  <c r="H96" i="2" s="1"/>
  <c r="H97" i="2" a="1"/>
  <c r="H97" i="2" s="1"/>
  <c r="H98" i="2" a="1"/>
  <c r="H98" i="2" s="1"/>
  <c r="H99" i="2" a="1"/>
  <c r="H99" i="2" s="1"/>
  <c r="H100" i="2" a="1"/>
  <c r="H100" i="2" s="1"/>
  <c r="H101" i="2" a="1"/>
  <c r="H101" i="2" s="1"/>
  <c r="H102" i="2" a="1"/>
  <c r="H102" i="2" s="1"/>
  <c r="H103" i="2" a="1"/>
  <c r="H103" i="2" s="1"/>
  <c r="H104" i="2" a="1"/>
  <c r="H104" i="2" s="1"/>
  <c r="H105" i="2" a="1"/>
  <c r="H105" i="2" s="1"/>
  <c r="H106" i="2" a="1"/>
  <c r="H106" i="2" s="1"/>
  <c r="H107" i="2" a="1"/>
  <c r="H107" i="2" s="1"/>
  <c r="H108" i="2" a="1"/>
  <c r="H108" i="2" s="1"/>
  <c r="H109" i="2" a="1"/>
  <c r="H109" i="2" s="1"/>
  <c r="H110" i="2" a="1"/>
  <c r="H110" i="2" s="1"/>
  <c r="H111" i="2" a="1"/>
  <c r="H111" i="2" s="1"/>
  <c r="H112" i="2" a="1"/>
  <c r="H112" i="2" s="1"/>
  <c r="H113" i="2" a="1"/>
  <c r="H113" i="2" s="1"/>
  <c r="H114" i="2" a="1"/>
  <c r="H114" i="2" s="1"/>
  <c r="H115" i="2" a="1"/>
  <c r="H115" i="2" s="1"/>
  <c r="H116" i="2" a="1"/>
  <c r="H116" i="2" s="1"/>
  <c r="H117" i="2" a="1"/>
  <c r="H117" i="2" s="1"/>
  <c r="H118" i="2" a="1"/>
  <c r="H118" i="2" s="1"/>
  <c r="H119" i="2" a="1"/>
  <c r="H119" i="2" s="1"/>
  <c r="H120" i="2" a="1"/>
  <c r="H120" i="2" s="1"/>
  <c r="H121" i="2" a="1"/>
  <c r="H121" i="2" s="1"/>
  <c r="H122" i="2" a="1"/>
  <c r="H122" i="2" s="1"/>
  <c r="H123" i="2" a="1"/>
  <c r="H123" i="2" s="1"/>
  <c r="H124" i="2" a="1"/>
  <c r="H124" i="2" s="1"/>
  <c r="H125" i="2" a="1"/>
  <c r="H125" i="2" s="1"/>
  <c r="H126" i="2" a="1"/>
  <c r="H126" i="2" s="1"/>
  <c r="H127" i="2" a="1"/>
  <c r="H127" i="2" s="1"/>
  <c r="H128" i="2" a="1"/>
  <c r="H128" i="2" s="1"/>
  <c r="H129" i="2" a="1"/>
  <c r="H129" i="2" s="1"/>
  <c r="H130" i="2" a="1"/>
  <c r="H130" i="2" s="1"/>
  <c r="H131" i="2" a="1"/>
  <c r="H131" i="2" s="1"/>
  <c r="H132" i="2" a="1"/>
  <c r="H132" i="2" s="1"/>
  <c r="H133" i="2" a="1"/>
  <c r="H133" i="2" s="1"/>
  <c r="H134" i="2" a="1"/>
  <c r="H134" i="2" s="1"/>
  <c r="H135" i="2" a="1"/>
  <c r="H135" i="2" s="1"/>
  <c r="H136" i="2" a="1"/>
  <c r="H136" i="2" s="1"/>
  <c r="H137" i="2" a="1"/>
  <c r="H137" i="2" s="1"/>
  <c r="H138" i="2" a="1"/>
  <c r="H138" i="2" s="1"/>
  <c r="H139" i="2" a="1"/>
  <c r="H139" i="2" s="1"/>
  <c r="H140" i="2" a="1"/>
  <c r="H140" i="2" s="1"/>
  <c r="H141" i="2" a="1"/>
  <c r="H141" i="2" s="1"/>
  <c r="H142" i="2" a="1"/>
  <c r="H142" i="2" s="1"/>
  <c r="H143" i="2" a="1"/>
  <c r="H143" i="2" s="1"/>
  <c r="H144" i="2" a="1"/>
  <c r="H144" i="2" s="1"/>
  <c r="H145" i="2" a="1"/>
  <c r="H145" i="2" s="1"/>
  <c r="H146" i="2" a="1"/>
  <c r="H146" i="2" s="1"/>
  <c r="H147" i="2" a="1"/>
  <c r="H147" i="2" s="1"/>
  <c r="H148" i="2" a="1"/>
  <c r="H148" i="2" s="1"/>
  <c r="H149" i="2" a="1"/>
  <c r="H149" i="2" s="1"/>
  <c r="H150" i="2" a="1"/>
  <c r="H150" i="2" s="1"/>
  <c r="H151" i="2" a="1"/>
  <c r="H151" i="2" s="1"/>
  <c r="H152" i="2" a="1"/>
  <c r="H152" i="2" s="1"/>
  <c r="H153" i="2" a="1"/>
  <c r="H153" i="2" s="1"/>
  <c r="H154" i="2" a="1"/>
  <c r="H154" i="2" s="1"/>
  <c r="H155" i="2" a="1"/>
  <c r="H155" i="2" s="1"/>
  <c r="H156" i="2" a="1"/>
  <c r="H156" i="2" s="1"/>
  <c r="H157" i="2" a="1"/>
  <c r="H157" i="2" s="1"/>
  <c r="H158" i="2" a="1"/>
  <c r="H158" i="2" s="1"/>
  <c r="H159" i="2" a="1"/>
  <c r="H159" i="2" s="1"/>
  <c r="H160" i="2" a="1"/>
  <c r="H160" i="2" s="1"/>
  <c r="H161" i="2" a="1"/>
  <c r="H161" i="2" s="1"/>
  <c r="H162" i="2" a="1"/>
  <c r="H162" i="2" s="1"/>
  <c r="H163" i="2" a="1"/>
  <c r="H163" i="2" s="1"/>
  <c r="H164" i="2" a="1"/>
  <c r="H164" i="2" s="1"/>
  <c r="H165" i="2" a="1"/>
  <c r="H165" i="2" s="1"/>
  <c r="H166" i="2" a="1"/>
  <c r="H166" i="2" s="1"/>
  <c r="H167" i="2" a="1"/>
  <c r="H167" i="2" s="1"/>
  <c r="H168" i="2" a="1"/>
  <c r="H168" i="2" s="1"/>
  <c r="H169" i="2" a="1"/>
  <c r="H169" i="2" s="1"/>
  <c r="H170" i="2" a="1"/>
  <c r="H170" i="2" s="1"/>
  <c r="H171" i="2" a="1"/>
  <c r="H171" i="2" s="1"/>
  <c r="H172" i="2" a="1"/>
  <c r="H172" i="2" s="1"/>
  <c r="H173" i="2" a="1"/>
  <c r="H173" i="2" s="1"/>
  <c r="H174" i="2" a="1"/>
  <c r="H174" i="2" s="1"/>
  <c r="H175" i="2" a="1"/>
  <c r="H175" i="2" s="1"/>
  <c r="H176" i="2" a="1"/>
  <c r="H176" i="2" s="1"/>
  <c r="H177" i="2" a="1"/>
  <c r="H177" i="2" s="1"/>
  <c r="H178" i="2" a="1"/>
  <c r="H178" i="2" s="1"/>
  <c r="H179" i="2" a="1"/>
  <c r="H179" i="2" s="1"/>
  <c r="H180" i="2" a="1"/>
  <c r="H180" i="2" s="1"/>
  <c r="H181" i="2" a="1"/>
  <c r="H181" i="2" s="1"/>
  <c r="H182" i="2" a="1"/>
  <c r="H182" i="2" s="1"/>
  <c r="H183" i="2" a="1"/>
  <c r="H183" i="2" s="1"/>
  <c r="H184" i="2" a="1"/>
  <c r="H184" i="2" s="1"/>
  <c r="H185" i="2" a="1"/>
  <c r="H185" i="2" s="1"/>
  <c r="H186" i="2" a="1"/>
  <c r="H186" i="2" s="1"/>
  <c r="H187" i="2" a="1"/>
  <c r="H187" i="2" s="1"/>
  <c r="H188" i="2" a="1"/>
  <c r="H188" i="2" s="1"/>
  <c r="H189" i="2" a="1"/>
  <c r="H189" i="2" s="1"/>
  <c r="H190" i="2" a="1"/>
  <c r="H190" i="2" s="1"/>
  <c r="H191" i="2" a="1"/>
  <c r="H191" i="2" s="1"/>
  <c r="H192" i="2" a="1"/>
  <c r="H192" i="2" s="1"/>
  <c r="H193" i="2" a="1"/>
  <c r="H193" i="2" s="1"/>
  <c r="H194" i="2" a="1"/>
  <c r="H194" i="2" s="1"/>
  <c r="H195" i="2" a="1"/>
  <c r="H195" i="2" s="1"/>
  <c r="H196" i="2" a="1"/>
  <c r="H196" i="2" s="1"/>
  <c r="H197" i="2" a="1"/>
  <c r="H197" i="2" s="1"/>
  <c r="H198" i="2" a="1"/>
  <c r="H198" i="2" s="1"/>
  <c r="H199" i="2" a="1"/>
  <c r="H199" i="2" s="1"/>
  <c r="H200" i="2" a="1"/>
  <c r="H200" i="2" s="1"/>
  <c r="H201" i="2" a="1"/>
  <c r="H201" i="2" s="1"/>
  <c r="H202" i="2" a="1"/>
  <c r="H202" i="2" s="1"/>
  <c r="H203" i="2" a="1"/>
  <c r="H203" i="2" s="1"/>
  <c r="H204" i="2" a="1"/>
  <c r="H204" i="2" s="1"/>
  <c r="H205" i="2" a="1"/>
  <c r="H205" i="2" s="1"/>
  <c r="H206" i="2" a="1"/>
  <c r="H206" i="2" s="1"/>
  <c r="H207" i="2" a="1"/>
  <c r="H207" i="2" s="1"/>
  <c r="H208" i="2" a="1"/>
  <c r="H208" i="2" s="1"/>
  <c r="H209" i="2" a="1"/>
  <c r="H209" i="2" s="1"/>
  <c r="H210" i="2" a="1"/>
  <c r="H210" i="2" s="1"/>
  <c r="H211" i="2" a="1"/>
  <c r="H211" i="2" s="1"/>
  <c r="H212" i="2" a="1"/>
  <c r="H212" i="2" s="1"/>
  <c r="H213" i="2" a="1"/>
  <c r="H213" i="2" s="1"/>
  <c r="H214" i="2" a="1"/>
  <c r="H214" i="2" s="1"/>
  <c r="H215" i="2" a="1"/>
  <c r="H215" i="2" s="1"/>
  <c r="H216" i="2" a="1"/>
  <c r="H216" i="2" s="1"/>
  <c r="H217" i="2" a="1"/>
  <c r="H217" i="2" s="1"/>
  <c r="H218" i="2" a="1"/>
  <c r="H218" i="2" s="1"/>
  <c r="H219" i="2" a="1"/>
  <c r="H219" i="2" s="1"/>
  <c r="H220" i="2" a="1"/>
  <c r="H220" i="2" s="1"/>
  <c r="H221" i="2" a="1"/>
  <c r="H221" i="2" s="1"/>
  <c r="H222" i="2" a="1"/>
  <c r="H222" i="2" s="1"/>
  <c r="H223" i="2" a="1"/>
  <c r="H223" i="2" s="1"/>
  <c r="H224" i="2" a="1"/>
  <c r="H224" i="2" s="1"/>
  <c r="H225" i="2" a="1"/>
  <c r="H225" i="2" s="1"/>
  <c r="H226" i="2" a="1"/>
  <c r="H226" i="2" s="1"/>
  <c r="H227" i="2" a="1"/>
  <c r="H227" i="2" s="1"/>
  <c r="H228" i="2" a="1"/>
  <c r="H228" i="2" s="1"/>
  <c r="H229" i="2" a="1"/>
  <c r="H229" i="2" s="1"/>
  <c r="H230" i="2" a="1"/>
  <c r="H230" i="2" s="1"/>
  <c r="H231" i="2" a="1"/>
  <c r="H231" i="2" s="1"/>
  <c r="H232" i="2" a="1"/>
  <c r="H232" i="2" s="1"/>
  <c r="H233" i="2" a="1"/>
  <c r="H233" i="2" s="1"/>
  <c r="H234" i="2" a="1"/>
  <c r="H234" i="2" s="1"/>
  <c r="H235" i="2" a="1"/>
  <c r="H235" i="2" s="1"/>
  <c r="H236" i="2" a="1"/>
  <c r="H236" i="2" s="1"/>
  <c r="H237" i="2" a="1"/>
  <c r="H237" i="2" s="1"/>
  <c r="H238" i="2" a="1"/>
  <c r="H238" i="2" s="1"/>
  <c r="H239" i="2" a="1"/>
  <c r="H239" i="2" s="1"/>
  <c r="H240" i="2" a="1"/>
  <c r="H240" i="2" s="1"/>
  <c r="H241" i="2" a="1"/>
  <c r="H241" i="2" s="1"/>
  <c r="H242" i="2" a="1"/>
  <c r="H242" i="2" s="1"/>
  <c r="H243" i="2" a="1"/>
  <c r="H243" i="2" s="1"/>
  <c r="H244" i="2" a="1"/>
  <c r="H244" i="2" s="1"/>
  <c r="H245" i="2" a="1"/>
  <c r="H245" i="2" s="1"/>
  <c r="H246" i="2" a="1"/>
  <c r="H246" i="2" s="1"/>
  <c r="H247" i="2" a="1"/>
  <c r="H247" i="2" s="1"/>
  <c r="H248" i="2" a="1"/>
  <c r="H248" i="2" s="1"/>
  <c r="H249" i="2" a="1"/>
  <c r="H249" i="2" s="1"/>
  <c r="H250" i="2" a="1"/>
  <c r="H250" i="2" s="1"/>
  <c r="H251" i="2" a="1"/>
  <c r="H251" i="2" s="1"/>
  <c r="H252" i="2" a="1"/>
  <c r="H252" i="2" s="1"/>
  <c r="H253" i="2" a="1"/>
  <c r="H253" i="2" s="1"/>
  <c r="H254" i="2" a="1"/>
  <c r="H254" i="2" s="1"/>
  <c r="H255" i="2" a="1"/>
  <c r="H255" i="2" s="1"/>
  <c r="H256" i="2" a="1"/>
  <c r="H256" i="2" s="1"/>
  <c r="H257" i="2" a="1"/>
  <c r="H257" i="2" s="1"/>
  <c r="H258" i="2" a="1"/>
  <c r="H258" i="2" s="1"/>
  <c r="H259" i="2" a="1"/>
  <c r="H259" i="2" s="1"/>
  <c r="H260" i="2" a="1"/>
  <c r="H260" i="2" s="1"/>
  <c r="H261" i="2" a="1"/>
  <c r="H261" i="2" s="1"/>
  <c r="H262" i="2" a="1"/>
  <c r="H262" i="2" s="1"/>
  <c r="H263" i="2" a="1"/>
  <c r="H263" i="2" s="1"/>
  <c r="H264" i="2" a="1"/>
  <c r="H264" i="2" s="1"/>
  <c r="H265" i="2" a="1"/>
  <c r="H265" i="2" s="1"/>
  <c r="H266" i="2" a="1"/>
  <c r="H266" i="2" s="1"/>
  <c r="H267" i="2" a="1"/>
  <c r="H267" i="2" s="1"/>
  <c r="H268" i="2" a="1"/>
  <c r="H268" i="2" s="1"/>
  <c r="H269" i="2" a="1"/>
  <c r="H269" i="2" s="1"/>
  <c r="H270" i="2" a="1"/>
  <c r="H270" i="2" s="1"/>
  <c r="H271" i="2" a="1"/>
  <c r="H271" i="2" s="1"/>
  <c r="H272" i="2" a="1"/>
  <c r="H272" i="2" s="1"/>
  <c r="H273" i="2" a="1"/>
  <c r="H273" i="2" s="1"/>
  <c r="H274" i="2" a="1"/>
  <c r="H274" i="2" s="1"/>
  <c r="H275" i="2" a="1"/>
  <c r="H275" i="2" s="1"/>
  <c r="H276" i="2" a="1"/>
  <c r="H276" i="2" s="1"/>
  <c r="H277" i="2" a="1"/>
  <c r="H277" i="2" s="1"/>
  <c r="H278" i="2" a="1"/>
  <c r="H278" i="2" s="1"/>
  <c r="H279" i="2" a="1"/>
  <c r="H279" i="2" s="1"/>
  <c r="H280" i="2" a="1"/>
  <c r="H280" i="2" s="1"/>
  <c r="H281" i="2" a="1"/>
  <c r="H281" i="2" s="1"/>
  <c r="H282" i="2" a="1"/>
  <c r="H282" i="2" s="1"/>
  <c r="H283" i="2" a="1"/>
  <c r="H283" i="2" s="1"/>
  <c r="H284" i="2" a="1"/>
  <c r="H284" i="2" s="1"/>
  <c r="H285" i="2" a="1"/>
  <c r="H285" i="2" s="1"/>
  <c r="H286" i="2" a="1"/>
  <c r="H286" i="2" s="1"/>
  <c r="H287" i="2" a="1"/>
  <c r="H287" i="2" s="1"/>
  <c r="H288" i="2" a="1"/>
  <c r="H288" i="2" s="1"/>
  <c r="H289" i="2" a="1"/>
  <c r="H289" i="2" s="1"/>
  <c r="H290" i="2" a="1"/>
  <c r="H290" i="2" s="1"/>
  <c r="H291" i="2" a="1"/>
  <c r="H291" i="2" s="1"/>
  <c r="H292" i="2" a="1"/>
  <c r="H292" i="2" s="1"/>
  <c r="H293" i="2" a="1"/>
  <c r="H293" i="2" s="1"/>
  <c r="H294" i="2" a="1"/>
  <c r="H294" i="2" s="1"/>
  <c r="H295" i="2" a="1"/>
  <c r="H295" i="2" s="1"/>
  <c r="H296" i="2" a="1"/>
  <c r="H296" i="2" s="1"/>
  <c r="H297" i="2" a="1"/>
  <c r="H297" i="2" s="1"/>
  <c r="H298" i="2" a="1"/>
  <c r="H298" i="2" s="1"/>
  <c r="H299" i="2" a="1"/>
  <c r="H299" i="2" s="1"/>
  <c r="H300" i="2" a="1"/>
  <c r="H300" i="2" s="1"/>
  <c r="H301" i="2" a="1"/>
  <c r="H301" i="2" s="1"/>
  <c r="H302" i="2" a="1"/>
  <c r="H302" i="2" s="1"/>
  <c r="H303" i="2" a="1"/>
  <c r="H303" i="2" s="1"/>
  <c r="H304" i="2" a="1"/>
  <c r="H304" i="2" s="1"/>
  <c r="H305" i="2" a="1"/>
  <c r="H305" i="2" s="1"/>
  <c r="A1" i="5" l="1" a="1"/>
  <c r="A1" i="5" s="1"/>
  <c r="E2" i="5" l="1" a="1"/>
  <c r="F2" i="5" l="1" a="1"/>
  <c r="F2" i="5" s="1"/>
  <c r="E2" i="5"/>
  <c r="G2" i="5" s="1" a="1"/>
  <c r="G2" i="5" l="1"/>
  <c r="H2" i="5" s="1" a="1"/>
  <c r="H2"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4664C1-44AF-4946-973A-4022F45B6246}"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9DF29DAF-4D08-45E1-8C9B-C22CCB0C777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F1E16ADC-0439-4D8A-93CC-5748CEA19AA5}" keepAlive="1" name="Query - testing" description="Connection to the 'testing' query in the workbook." type="5" refreshedVersion="8" background="1" saveData="1">
    <dbPr connection="Provider=Microsoft.Mashup.OleDb.1;Data Source=$Workbook$;Location=testing;Extended Properties=&quot;&quot;" command="SELECT * FROM [testing]"/>
  </connection>
  <connection id="4" xr16:uid="{BC2DD8EB-223A-4C62-9416-AB17B61FB569}" keepAlive="1" name="Query - testing (2)" description="Connection to the 'testing (2)' query in the workbook." type="5" refreshedVersion="8" background="1" saveData="1">
    <dbPr connection="Provider=Microsoft.Mashup.OleDb.1;Data Source=$Workbook$;Location=&quot;testing (2)&quot;;Extended Properties=&quot;&quot;" command="SELECT * FROM [testing (2)]"/>
  </connection>
  <connection id="5" xr16:uid="{A43747B8-1C6D-40E2-B6CA-E598BA460F9A}"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6" xr16:uid="{165302E7-6F17-41ED-98AE-02ED20621C35}"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<sst xmlns="http://schemas.openxmlformats.org/spreadsheetml/2006/main" count="1060" uniqueCount="144">
  <si>
    <t>Source.Name</t>
  </si>
  <si>
    <t>Date</t>
  </si>
  <si>
    <t>Date Processed</t>
  </si>
  <si>
    <t>Description</t>
  </si>
  <si>
    <t>Amount</t>
  </si>
  <si>
    <t>MEMBERSHIP FEE INSTALLMENT</t>
  </si>
  <si>
    <t>ANTHROPIC* CLAUDE SUB   SAN FRANCISCO</t>
  </si>
  <si>
    <t>IKEA RICHMOND           RICHMOND</t>
  </si>
  <si>
    <t>WHOLE FOODS MARKET      BURNABY</t>
  </si>
  <si>
    <t>KAMO BAKERY             VANCOUVER</t>
  </si>
  <si>
    <t>BCAA-INSURANCE          BURNABY</t>
  </si>
  <si>
    <t>MODO CO OPERATIVE       VANCOUVER</t>
  </si>
  <si>
    <t>PETRO-CANADA 91215      VANCOUVER</t>
  </si>
  <si>
    <t>HANNAM SUPERMARKET BUR  BURNABY</t>
  </si>
  <si>
    <t>EVO CAR SHARE           BURNABY</t>
  </si>
  <si>
    <t>NYCT PAYGO              NEW YORK</t>
  </si>
  <si>
    <t>VIET HOUSE 001          VANCOUVER</t>
  </si>
  <si>
    <t>CITY OF VAN PAYBYPHONE  VANCOUVER</t>
  </si>
  <si>
    <t>SHELL EASYPAY C10093    VANCOUVER</t>
  </si>
  <si>
    <t>RONA+ GRANDVIEW 83704 R VANCOUVER</t>
  </si>
  <si>
    <t>BURNABY MOUNTAIN GOLF 7 BURNABY</t>
  </si>
  <si>
    <t>Count</t>
  </si>
  <si>
    <t xml:space="preserve">Total </t>
  </si>
  <si>
    <t>Keyword</t>
  </si>
  <si>
    <t>Category</t>
  </si>
  <si>
    <t>PAYMENT RECEIVED</t>
  </si>
  <si>
    <t>MEMBERSHIP FEE</t>
  </si>
  <si>
    <t>PAYBYPHONE</t>
  </si>
  <si>
    <t>NYCT</t>
  </si>
  <si>
    <t>UBER TRIP</t>
  </si>
  <si>
    <t>EVO CAR</t>
  </si>
  <si>
    <t>MODO</t>
  </si>
  <si>
    <t>SHELL</t>
  </si>
  <si>
    <t>H-MART</t>
  </si>
  <si>
    <t>WHOLE FOODS</t>
  </si>
  <si>
    <t>HANNAM</t>
  </si>
  <si>
    <t>COFFE</t>
  </si>
  <si>
    <t>KAMO BAKERY</t>
  </si>
  <si>
    <t>IKEA</t>
  </si>
  <si>
    <t>RONA</t>
  </si>
  <si>
    <t>ALIEXPRESS</t>
  </si>
  <si>
    <t>ANTHROPIC</t>
  </si>
  <si>
    <t>BCAA</t>
  </si>
  <si>
    <t>CINEPLEX</t>
  </si>
  <si>
    <t>HAIR</t>
  </si>
  <si>
    <t>Payment</t>
  </si>
  <si>
    <t>Fees</t>
  </si>
  <si>
    <t>Parking</t>
  </si>
  <si>
    <t>Transit</t>
  </si>
  <si>
    <t>Car Share</t>
  </si>
  <si>
    <t>Gas</t>
  </si>
  <si>
    <t>Grocery</t>
  </si>
  <si>
    <t>Cafe</t>
  </si>
  <si>
    <t>Home</t>
  </si>
  <si>
    <t>Online Shopping</t>
  </si>
  <si>
    <t>Subscription</t>
  </si>
  <si>
    <t>Insurance</t>
  </si>
  <si>
    <t>Entertainment</t>
  </si>
  <si>
    <t>Personal Care</t>
  </si>
  <si>
    <t>Categorized</t>
  </si>
  <si>
    <t>Dining</t>
  </si>
  <si>
    <t>Merchant</t>
  </si>
  <si>
    <t>ANTHROPIC* CLAUDE SUB</t>
  </si>
  <si>
    <t>IKEA RICHMOND</t>
  </si>
  <si>
    <t>WHOLE FOODS MARKET</t>
  </si>
  <si>
    <t>BCAA-INSURANCE</t>
  </si>
  <si>
    <t>MODO CO OPERATIVE</t>
  </si>
  <si>
    <t>PETRO-CANADA 91215</t>
  </si>
  <si>
    <t>HANNAM SUPERMARKET BUR</t>
  </si>
  <si>
    <t>EVO CAR SHARE</t>
  </si>
  <si>
    <t>NYCT PAYGO</t>
  </si>
  <si>
    <t>KATZ'S DELICATESSEN</t>
  </si>
  <si>
    <t>VIET HOUSE 001</t>
  </si>
  <si>
    <t>CITY OF VAN PAYBYPHONE</t>
  </si>
  <si>
    <t>TEXAS SMOKE BBQ</t>
  </si>
  <si>
    <t>CINEPLEX #8030 WEB QP</t>
  </si>
  <si>
    <t>SHELL EASYPAY C10093</t>
  </si>
  <si>
    <t>Hobby</t>
  </si>
  <si>
    <t>IMPARK</t>
  </si>
  <si>
    <t>Shopping</t>
  </si>
  <si>
    <t>Total</t>
  </si>
  <si>
    <t>Share</t>
  </si>
  <si>
    <t>Start of Month</t>
  </si>
  <si>
    <t>Row Labels</t>
  </si>
  <si>
    <t>Uncategorized</t>
  </si>
  <si>
    <t>Grand Total</t>
  </si>
  <si>
    <t>Sum of Amount</t>
  </si>
  <si>
    <t>Mar</t>
  </si>
  <si>
    <t>Apr</t>
  </si>
  <si>
    <t>May</t>
  </si>
  <si>
    <t>Jun</t>
  </si>
  <si>
    <t>Jul</t>
  </si>
  <si>
    <t>Aug</t>
  </si>
  <si>
    <t>(All)</t>
  </si>
  <si>
    <t>STARBUCKS STORE 5512    VANCOUVER</t>
  </si>
  <si>
    <t>H-MART CANADA - 004     COQUITLAM</t>
  </si>
  <si>
    <t>NORTHSHORE COFFEE CO    VANCOUVER</t>
  </si>
  <si>
    <t>UBER TRIP               VANCOUVER</t>
  </si>
  <si>
    <t>SAFEWAY #4921           VANCOUVER</t>
  </si>
  <si>
    <t>SHOPPERS DRUG MART #22  VANCOUVER</t>
  </si>
  <si>
    <t>CHICK-FIL-A #04418      TORONTO</t>
  </si>
  <si>
    <t>IMPARK00120045U         VANCOUVER</t>
  </si>
  <si>
    <t>WALMART STORE 3120      RICHMOND</t>
  </si>
  <si>
    <t>ZARA CANADA 3321        VANCOUVER</t>
  </si>
  <si>
    <t>CINEPLEX #8030 WEB QP   VANCOUVER</t>
  </si>
  <si>
    <t>TEXAS SMOKE BBQ         VANCOUVER</t>
  </si>
  <si>
    <t>PIXELWORKS STUDIO       TORONTO</t>
  </si>
  <si>
    <t>ALIEXPRESS              SINGAPORE</t>
  </si>
  <si>
    <t>RIVERSIDE ARCADE        RICHMOND</t>
  </si>
  <si>
    <t>LUMEN BOOKSHOP          VANCOUVER</t>
  </si>
  <si>
    <t>MAPLE HAIR STUDIO       VANCOUVER</t>
  </si>
  <si>
    <t>HARBOUR FLORIST         VANCOUVER</t>
  </si>
  <si>
    <t>KATZ'S DELICATESSEN     NEW YORK</t>
  </si>
  <si>
    <t>statement_2026_03.csv</t>
  </si>
  <si>
    <t>NORTHSHORE COFFEE CO</t>
  </si>
  <si>
    <t>ZARA CANADA 3321</t>
  </si>
  <si>
    <t>WALMART STORE 3120</t>
  </si>
  <si>
    <t>CHICK-FIL-A #04418</t>
  </si>
  <si>
    <t>MAPLE HAIR STUDIO</t>
  </si>
  <si>
    <t>IMPARK00120045U</t>
  </si>
  <si>
    <t>H-MART CANADA - 004</t>
  </si>
  <si>
    <t>SAFEWAY #4921</t>
  </si>
  <si>
    <t>STARBUCKS STORE 5512</t>
  </si>
  <si>
    <t>SHOPPERS DRUG MART #22</t>
  </si>
  <si>
    <t>RIVERSIDE ARCADE</t>
  </si>
  <si>
    <t>PIXELWORKS STUDIO</t>
  </si>
  <si>
    <t>statement_2026_04.csv</t>
  </si>
  <si>
    <t>LUMEN BOOKSHOP</t>
  </si>
  <si>
    <t>statement_2026_05.csv</t>
  </si>
  <si>
    <t>statement_2026_06.csv</t>
  </si>
  <si>
    <t>statement_2026_07.csv</t>
  </si>
  <si>
    <t>HARBOUR FLORIST</t>
  </si>
  <si>
    <t>statement_2026_08.csv</t>
  </si>
  <si>
    <t>PETRO-CANADA</t>
  </si>
  <si>
    <t>SAFEWAY</t>
  </si>
  <si>
    <t>WALMART</t>
  </si>
  <si>
    <t>STARBUCKS</t>
  </si>
  <si>
    <t>CHICK-FIL-A</t>
  </si>
  <si>
    <t>VIET HOUSE</t>
  </si>
  <si>
    <t>KATZ</t>
  </si>
  <si>
    <t>SHOPPERS DRUG MART</t>
  </si>
  <si>
    <t>ZARA</t>
  </si>
  <si>
    <t>BURNABY MOUNTAIN GOLF</t>
  </si>
  <si>
    <t>Spend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</si>
</sst>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cellXfs>
  <cellStyles count="1">
    <cellStyle name="Normal" xfId="0" builtinId="0"/>
  </cellStyles>
  <dxfs count="8">
    <dxf>
      <numFmt numFmtId="0" formatCode="General"/>
    </dxf>
    <dxf>
      <numFmt numFmtId="0" formatCode="General"/>
    </dxf>
    <dxf>
      <numFmt numFmtId="19" formatCode="m/d/yyyy"/>
    </dxf>
    <dxf>
      <numFmt numFmtId="0" formatCode="General"/>
    </dxf>
    <dxf>
      <numFmt numFmtId="0" formatCode="General"/>
    </dxf>
    <dxf>
      <numFmt numFmtId="19" formatCode="m/d/yyyy"/>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[Spending Dashboard.xlsx]Dashboard!PivotTable1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Spending by Category</a:t>
            </a:r>
          </a:p>
        </c:rich>
      </c:tx>
      <c:layout>
        <c:manualLayout>
          <c:xMode val="edge"/>
          <c:yMode val="edge"/>
          <c:x val="0.33295122484689421"/>
          <c:y val="1.67539211760988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065135608048992"/>
          <c:y val="0.15910024847252391"/>
          <c:w val="0.42487160979877514"/>
          <c:h val="0.77634614568567839"/>
        </c:manualLayout>
      </c:layout>
      <c:barChart>
        <c:barDir val="bar"/>
        <c:grouping val="clustered"/>
        <c:varyColors val="0"/>
        <c:ser>
          <c:idx val="0"/>
          <c:order val="0"/>
          <c:tx>
            <c:strRef>
              <c:f>Dashboard!$B$3</c:f>
              <c:strCache>
                <c:ptCount val="1"/>
                <c:pt idx="0">
                  <c:v>Total</c:v>
                </c:pt>
              </c:strCache>
            </c:strRef>
          </c:tx>
          <c:spPr>
            <a:solidFill>
              <a:schemeClr val="accent1"/>
            </a:solidFill>
            <a:ln>
              <a:noFill/>
            </a:ln>
            <a:effectLst/>
          </c:spPr>
          <c:invertIfNegative val="0"/>
          <c:cat>
            <c:strRef>
              <c:f>Dashboard!$A$4:$A$21</c:f>
              <c:strCache>
                <c:ptCount val="17"/>
                <c:pt idx="0">
                  <c:v>Grocery</c:v>
                </c:pt>
                <c:pt idx="1">
                  <c:v>Gas</c:v>
                </c:pt>
                <c:pt idx="2">
                  <c:v>Home</c:v>
                </c:pt>
                <c:pt idx="3">
                  <c:v>Dining</c:v>
                </c:pt>
                <c:pt idx="4">
                  <c:v>Cafe</c:v>
                </c:pt>
                <c:pt idx="5">
                  <c:v>Shopping</c:v>
                </c:pt>
                <c:pt idx="6">
                  <c:v>Insurance</c:v>
                </c:pt>
                <c:pt idx="7">
                  <c:v>Personal Care</c:v>
                </c:pt>
                <c:pt idx="8">
                  <c:v>Uncategorized</c:v>
                </c:pt>
                <c:pt idx="9">
                  <c:v>Transit</c:v>
                </c:pt>
                <c:pt idx="10">
                  <c:v>Car Share</c:v>
                </c:pt>
                <c:pt idx="11">
                  <c:v>Hobby</c:v>
                </c:pt>
                <c:pt idx="12">
                  <c:v>Parking</c:v>
                </c:pt>
                <c:pt idx="13">
                  <c:v>Subscription</c:v>
                </c:pt>
                <c:pt idx="14">
                  <c:v>Entertainment</c:v>
                </c:pt>
                <c:pt idx="15">
                  <c:v>Fees</c:v>
                </c:pt>
                <c:pt idx="16">
                  <c:v>Online Shopping</c:v>
                </c:pt>
              </c:strCache>
            </c:strRef>
          </c:cat>
          <c:val>
            <c:numRef>
              <c:f>Dashboard!$B$4:$B$21</c:f>
              <c:numCache>
                <c:formatCode>General</c:formatCode>
                <c:ptCount val="17"/>
                <c:pt idx="0">
                  <c:v>2978.0399999999995</c:v>
                </c:pt>
                <c:pt idx="1">
                  <c:v>1647.9500000000007</c:v>
                </c:pt>
                <c:pt idx="2">
                  <c:v>826.86000000000013</c:v>
                </c:pt>
                <c:pt idx="3">
                  <c:v>794.75</c:v>
                </c:pt>
                <c:pt idx="4">
                  <c:v>563.58999999999992</c:v>
                </c:pt>
                <c:pt idx="5">
                  <c:v>498.74</c:v>
                </c:pt>
                <c:pt idx="6">
                  <c:v>475.32000000000005</c:v>
                </c:pt>
                <c:pt idx="7">
                  <c:v>428.32000000000005</c:v>
                </c:pt>
                <c:pt idx="8">
                  <c:v>371.43999999999994</c:v>
                </c:pt>
                <c:pt idx="9">
                  <c:v>338.49999999999983</c:v>
                </c:pt>
                <c:pt idx="10">
                  <c:v>234.12999999999997</c:v>
                </c:pt>
                <c:pt idx="11">
                  <c:v>229.01999999999998</c:v>
                </c:pt>
                <c:pt idx="12">
                  <c:v>186.15</c:v>
                </c:pt>
                <c:pt idx="13">
                  <c:v>168</c:v>
                </c:pt>
                <c:pt idx="14">
                  <c:v>106.68</c:v>
                </c:pt>
                <c:pt idx="15">
                  <c:v>95.94</c:v>
                </c:pt>
                <c:pt idx="16">
                  <c:v>10.809999999999999</c:v>
                </c:pt>
              </c:numCache>
            </c:numRef>
          </c:val>
          <c:extLst>
            <c:ext xmlns:c16="http://schemas.microsoft.com/office/drawing/2014/chart" uri="{C3380CC4-5D6E-409C-BE32-E72D297353CC}">
              <c16:uniqueId val="{00000000-F2E4-4A59-9D5D-8E48A58D9073}"/>
            </c:ext>
          </c:extLst>
        </c:ser>
        <c:dLbls>
          <c:showLegendKey val="0"/>
          <c:showVal val="0"/>
          <c:showCatName val="0"/>
          <c:showSerName val="0"/>
          <c:showPercent val="0"/>
          <c:showBubbleSize val="0"/>
        </c:dLbls>
        <c:gapWidth val="182"/>
        <c:axId val="1191160880"/>
        <c:axId val="3996463"/>
      </c:barChart>
      <c:catAx>
        <c:axId val="11911608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6463"/>
        <c:crosses val="autoZero"/>
        <c:auto val="1"/>
        <c:lblAlgn val="ctr"/>
        <c:lblOffset val="100"/>
        <c:noMultiLvlLbl val="0"/>
      </c:catAx>
      <c:valAx>
        <c:axId val="3996463"/>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160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[Spending Dashboard.xlsx]Dashboard!PivotTable2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Monthyl Spending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91426071741029"/>
          <c:y val="0.38263451443569563"/>
          <c:w val="0.72429352580927386"/>
          <c:h val="0.44654235928842229"/>
        </c:manualLayout>
      </c:layout>
      <c:lineChart>
        <c:grouping val="standard"/>
        <c:varyColors val="0"/>
        <c:ser>
          <c:idx val="0"/>
          <c:order val="0"/>
          <c:tx>
            <c:strRef>
              <c:f>Dashboard!$B$35</c:f>
              <c:strCache>
                <c:ptCount val="1"/>
                <c:pt idx="0">
                  <c:v>Total</c:v>
                </c:pt>
              </c:strCache>
            </c:strRef>
          </c:tx>
          <c:spPr>
            <a:ln w="28575" cap="rnd">
              <a:solidFill>
                <a:schemeClr val="accent1"/>
              </a:solidFill>
              <a:round/>
            </a:ln>
            <a:effectLst/>
          </c:spPr>
          <c:marker>
            <c:symbol val="none"/>
          </c:marker>
          <c:cat>
            <c:strRef>
              <c:f>Dashboard!$A$36:$A$42</c:f>
              <c:strCache>
                <c:ptCount val="6"/>
                <c:pt idx="0">
                  <c:v>Mar</c:v>
                </c:pt>
                <c:pt idx="1">
                  <c:v>Apr</c:v>
                </c:pt>
                <c:pt idx="2">
                  <c:v>May</c:v>
                </c:pt>
                <c:pt idx="3">
                  <c:v>Jun</c:v>
                </c:pt>
                <c:pt idx="4">
                  <c:v>Jul</c:v>
                </c:pt>
                <c:pt idx="5">
                  <c:v>Aug</c:v>
                </c:pt>
              </c:strCache>
            </c:strRef>
          </c:cat>
          <c:val>
            <c:numRef>
              <c:f>Dashboard!$B$36:$B$42</c:f>
              <c:numCache>
                <c:formatCode>General</c:formatCode>
                <c:ptCount val="6"/>
                <c:pt idx="0">
                  <c:v>1799.65</c:v>
                </c:pt>
                <c:pt idx="1">
                  <c:v>1537.3099999999995</c:v>
                </c:pt>
                <c:pt idx="2">
                  <c:v>1750.4199999999994</c:v>
                </c:pt>
                <c:pt idx="3">
                  <c:v>1630.0900000000001</c:v>
                </c:pt>
                <c:pt idx="4">
                  <c:v>1549.2599999999995</c:v>
                </c:pt>
                <c:pt idx="5">
                  <c:v>1687.5100000000004</c:v>
                </c:pt>
              </c:numCache>
            </c:numRef>
          </c:val>
          <c:smooth val="0"/>
          <c:extLst>
            <c:ext xmlns:c16="http://schemas.microsoft.com/office/drawing/2014/chart" uri="{C3380CC4-5D6E-409C-BE32-E72D297353CC}">
              <c16:uniqueId val="{00000000-EC97-443E-8F60-E6282B29C32A}"/>
            </c:ext>
          </c:extLst>
        </c:ser>
        <c:dLbls>
          <c:showLegendKey val="0"/>
          <c:showVal val="0"/>
          <c:showCatName val="0"/>
          <c:showSerName val="0"/>
          <c:showPercent val="0"/>
          <c:showBubbleSize val="0"/>
        </c:dLbls>
        <c:smooth val="0"/>
        <c:axId val="1118631616"/>
        <c:axId val="1844766160"/>
      </c:lineChart>
      <c:catAx>
        <c:axId val="111863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766160"/>
        <c:crosses val="autoZero"/>
        <c:auto val="1"/>
        <c:lblAlgn val="ctr"/>
        <c:lblOffset val="100"/>
        <c:noMultiLvlLbl val="0"/>
      </c:catAx>
      <c:valAx>
        <c:axId val="1844766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63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19050</xdr:colOff>
      <xdr:row>2</xdr:row>
      <xdr:rowOff>14286</xdr:rowOff>
    </xdr:from>
    <xdr:to>
      <xdr:col>10</xdr:col>
      <xdr:colOff>323850</xdr:colOff>
      <xdr:row>25</xdr:row>
      <xdr:rowOff>180975</xdr:rowOff>
    </xdr:to>
    <xdr:graphicFrame macro="">
      <xdr:nvGraphicFramePr>
        <xdr:cNvPr id="2" name="Chart 1">
          <a:extLst>
            <a:ext uri="{FF2B5EF4-FFF2-40B4-BE49-F238E27FC236}">
              <a16:creationId xmlns:a16="http://schemas.microsoft.com/office/drawing/2014/main" id="{331B745E-6598-C10F-63F7-1A99516634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592932</xdr:colOff>
      <xdr:row>28</xdr:row>
      <xdr:rowOff>104774</xdr:rowOff>
    </xdr:from>
    <xdr:to>
      <xdr:col>12</xdr:col>
      <xdr:colOff>157163</xdr:colOff>
      <xdr:row>43</xdr:row>
      <xdr:rowOff>157162</xdr:rowOff>
    </xdr:to>
    <xdr:graphicFrame macro="">
      <xdr:nvGraphicFramePr>
        <xdr:cNvPr id="3" name="Chart 2">
          <a:extLst>
            <a:ext uri="{FF2B5EF4-FFF2-40B4-BE49-F238E27FC236}">
              <a16:creationId xmlns:a16="http://schemas.microsoft.com/office/drawing/2014/main" id="{E0C6C981-F6C7-4986-6F7A-B106A2C501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523875</xdr:colOff>
      <xdr:row>2</xdr:row>
      <xdr:rowOff>47625</xdr:rowOff>
    </xdr:from>
    <xdr:to>
      <xdr:col>13</xdr:col>
      <xdr:colOff>523876</xdr:colOff>
      <xdr:row>16</xdr:row>
      <xdr:rowOff>47625</xdr:rowOff>
    </xdr:to>
    <mc:AlternateContent xmlns:mc="http://schemas.openxmlformats.org/markup-compatibility/2006" xmlns:a14="http://schemas.microsoft.com/office/drawing/2010/main">
      <mc:Choice Requires="a14">
        <xdr:graphicFrame macro="">
          <xdr:nvGraphicFramePr>
            <xdr:cNvPr id="4" name="Categorized">
              <a:extLst>
                <a:ext uri="{FF2B5EF4-FFF2-40B4-BE49-F238E27FC236}">
                  <a16:creationId xmlns:a16="http://schemas.microsoft.com/office/drawing/2014/main" id="{937732ED-E5DB-C16A-0A4D-4AC034E82351}"/>
                </a:ext>
              </a:extLst>
            </xdr:cNvPr>
            <xdr:cNvGraphicFramePr/>
          </xdr:nvGraphicFramePr>
          <xdr:xfrm>
            <a:off x="0" y="0"/>
            <a:ext cx="0" cy="0"/>
          </xdr:xfrm>
          <a:graphic>
            <a:graphicData uri="http://schemas.microsoft.com/office/drawing/2010/slicer">
              <sle:slicer xmlns:sle="http://schemas.microsoft.com/office/drawing/2010/slicer" name="Categorized"/>
            </a:graphicData>
          </a:graphic>
        </xdr:graphicFrame>
      </mc:Choice>
      <mc:Fallback xmlns="">
        <xdr:sp macro="" textlink="">
          <xdr:nvSpPr>
            <xdr:cNvPr id="0" name=""/>
            <xdr:cNvSpPr>
              <a:spLocks noTextEdit="1"/>
            </xdr:cNvSpPr>
          </xdr:nvSpPr>
          <xdr:spPr>
            <a:xfrm>
              <a:off x="7871732" y="428625"/>
              <a:ext cx="1836965" cy="26670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123825</xdr:colOff>
      <xdr:row>2</xdr:row>
      <xdr:rowOff>38100</xdr:rowOff>
    </xdr:from>
    <xdr:to>
      <xdr:col>17</xdr:col>
      <xdr:colOff>123825</xdr:colOff>
      <xdr:row>16</xdr:row>
      <xdr:rowOff>38100</xdr:rowOff>
    </xdr:to>
    <mc:AlternateContent xmlns:mc="http://schemas.openxmlformats.org/markup-compatibility/2006" xmlns:a14="http://schemas.microsoft.com/office/drawing/2010/main">
      <mc:Choice Requires="a14">
        <xdr:graphicFrame macro="">
          <xdr:nvGraphicFramePr>
            <xdr:cNvPr id="5" name="Months (Start of Month)">
              <a:extLst>
                <a:ext uri="{FF2B5EF4-FFF2-40B4-BE49-F238E27FC236}">
                  <a16:creationId xmlns:a16="http://schemas.microsoft.com/office/drawing/2014/main" id="{073E8D3E-9FE9-1C05-0232-4C8CE60D7D6C}"/>
                </a:ext>
              </a:extLst>
            </xdr:cNvPr>
            <xdr:cNvGraphicFramePr/>
          </xdr:nvGraphicFramePr>
          <xdr:xfrm>
            <a:off x="0" y="0"/>
            <a:ext cx="0" cy="0"/>
          </xdr:xfrm>
          <a:graphic>
            <a:graphicData uri="http://schemas.microsoft.com/office/drawing/2010/slicer">
              <sle:slicer xmlns:sle="http://schemas.microsoft.com/office/drawing/2010/slicer" name="Months (Start of Month)"/>
            </a:graphicData>
          </a:graphic>
        </xdr:graphicFrame>
      </mc:Choice>
      <mc:Fallback xmlns="">
        <xdr:sp macro="" textlink="">
          <xdr:nvSpPr>
            <xdr:cNvPr id="0" name=""/>
            <xdr:cNvSpPr>
              <a:spLocks noTextEdit="1"/>
            </xdr:cNvSpPr>
          </xdr:nvSpPr>
          <xdr:spPr>
            <a:xfrm>
              <a:off x="9920968" y="419100"/>
              <a:ext cx="1836964" cy="266700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an Yoon" refreshedDate="46292.892090856483" createdVersion="8" refreshedVersion="8" minRefreshableVersion="3" recordCount="304" xr:uid="{61597D3D-B3B6-4748-B473-56CA7381A268}">
  <cacheSource type="worksheet">
    <worksheetSource name="Tx"/>
  </cacheSource>
  <cacheFields count="10">
    <cacheField name="Source.Name" numFmtId="0">
      <sharedItems/>
    </cacheField>
    <cacheField name="Date" numFmtId="14">
      <sharedItems containsSemiMixedTypes="0" containsNonDate="0" containsDate="1" containsString="0" minDate="2026-03-01T00:00:00" maxDate="2026-08-31T00:00:00"/>
    </cacheField>
    <cacheField name="Date Processed" numFmtId="14">
      <sharedItems containsSemiMixedTypes="0" containsNonDate="0" containsDate="1" containsString="0" minDate="2026-03-01T00:00:00" maxDate="2026-08-31T00:00:00"/>
    </cacheField>
    <cacheField name="Description" numFmtId="0">
      <sharedItems/>
    </cacheField>
    <cacheField name="Amount" numFmtId="0">
      <sharedItems containsSemiMixedTypes="0" containsString="0" containsNumber="1" minValue="-13.16" maxValue="123.45"/>
    </cacheField>
    <cacheField name="Merchant" numFmtId="0">
      <sharedItems/>
    </cacheField>
    <cacheField name="Start of Month" numFmtId="14">
      <sharedItems containsSemiMixedTypes="0" containsNonDate="0" containsDate="1" containsString="0" minDate="2026-03-01T00:00:00" maxDate="2026-08-02T00:00:00" count="6">
        <d v="2026-03-01T00:00:00"/>
        <d v="2026-04-01T00:00:00"/>
        <d v="2026-05-01T00:00:00"/>
        <d v="2026-06-01T00:00:00"/>
        <d v="2026-07-01T00:00:00"/>
        <d v="2026-08-01T00:00:00"/>
      </sharedItems>
      <fieldGroup par="9"/>
    </cacheField>
    <cacheField name="Categorized" numFmtId="0">
      <sharedItems count="25">
        <s v="Cafe"/>
        <s v="Dining"/>
        <s v="Shopping"/>
        <s v="Transit"/>
        <s v="Grocery"/>
        <s v="Gas"/>
        <s v="Parking"/>
        <s v="Personal Care"/>
        <s v="Car Share"/>
        <s v="Fees"/>
        <s v="Subscription"/>
        <s v="Hobby"/>
        <s v="Entertainment"/>
        <s v="Uncategorized"/>
        <s v="Insurance"/>
        <s v="Home"/>
        <s v="Online Shopping"/>
        <s v="Health" u="1"/>
        <s v="Travel" u="1"/>
        <s v="Education " u="1"/>
        <s v="Recreation" u="1"/>
        <s v="Car maintain" u="1"/>
        <s v="Government/Fees" u="1"/>
        <s v="Alcohol" u="1"/>
        <s v="Payment" u="1"/>
      </sharedItems>
    </cacheField>
    <cacheField name="Days (Start of Month)" numFmtId="0" databaseField="0">
      <fieldGroup base="6">
        <rangePr groupBy="days" startDate="2026-03-01T00:00:00" endDate="2026-08-02T00:00:00"/>
        <groupItems count="368">
          <s v="&lt;3/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8/2/2026"/>
        </groupItems>
      </fieldGroup>
    </cacheField>
    <cacheField name="Months (Start of Month)" numFmtId="0" databaseField="0">
      <fieldGroup base="6">
        <rangePr groupBy="months" startDate="2026-03-01T00:00:00" endDate="2026-08-02T00:00:00"/>
        <groupItems count="14">
          <s v="&lt;3/1/2026"/>
          <s v="Jan"/>
          <s v="Feb"/>
          <s v="Mar"/>
          <s v="Apr"/>
          <s v="May"/>
          <s v="Jun"/>
          <s v="Jul"/>
          <s v="Aug"/>
          <s v="Sep"/>
          <s v="Oct"/>
          <s v="Nov"/>
          <s v="Dec"/>
          <s v="&gt;8/2/2026"/>
        </groupItems>
      </fieldGroup>
    </cacheField>
  </cacheFields>
  <extLst>
    <ext xmlns:x14="http://schemas.microsoft.com/office/spreadsheetml/2009/9/main" uri="{725AE2AE-9491-48be-B2B4-4EB974FC3084}">
      <x14:pivotCacheDefinition pivotCacheId="6973220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4">
  <r>
    <s v="statement_2026_03.csv"/>
    <d v="2026-03-31T00:00:00"/>
    <d v="2026-04-02T00:00:00"/>
    <s v="NORTHSHORE COFFEE CO    VANCOUVER"/>
    <n v="8.1"/>
    <s v="NORTHSHORE COFFEE CO"/>
    <x v="0"/>
    <x v="0"/>
  </r>
  <r>
    <s v="statement_2026_03.csv"/>
    <d v="2026-03-31T00:00:00"/>
    <d v="2026-03-31T00:00:00"/>
    <s v="VIET HOUSE 001          VANCOUVER"/>
    <n v="20.13"/>
    <s v="VIET HOUSE 001"/>
    <x v="0"/>
    <x v="1"/>
  </r>
  <r>
    <s v="statement_2026_03.csv"/>
    <d v="2026-03-31T00:00:00"/>
    <d v="2026-03-31T00:00:00"/>
    <s v="ZARA CANADA 3321        VANCOUVER"/>
    <n v="59.03"/>
    <s v="ZARA CANADA 3321"/>
    <x v="0"/>
    <x v="2"/>
  </r>
  <r>
    <s v="statement_2026_03.csv"/>
    <d v="2026-03-30T00:00:00"/>
    <d v="2026-03-31T00:00:00"/>
    <s v="TEXAS SMOKE BBQ         VANCOUVER"/>
    <n v="40.17"/>
    <s v="TEXAS SMOKE BBQ"/>
    <x v="0"/>
    <x v="1"/>
  </r>
  <r>
    <s v="statement_2026_03.csv"/>
    <d v="2026-03-30T00:00:00"/>
    <d v="2026-04-01T00:00:00"/>
    <s v="UBER TRIP               VANCOUVER"/>
    <n v="24.65"/>
    <s v="UBER TRIP"/>
    <x v="0"/>
    <x v="3"/>
  </r>
  <r>
    <s v="statement_2026_03.csv"/>
    <d v="2026-03-29T00:00:00"/>
    <d v="2026-03-30T00:00:00"/>
    <s v="WALMART STORE 3120      RICHMOND"/>
    <n v="85.09"/>
    <s v="WALMART STORE 3120"/>
    <x v="0"/>
    <x v="4"/>
  </r>
  <r>
    <s v="statement_2026_03.csv"/>
    <d v="2026-03-29T00:00:00"/>
    <d v="2026-03-30T00:00:00"/>
    <s v="SHELL EASYPAY C10093    VANCOUVER"/>
    <n v="50.5"/>
    <s v="SHELL EASYPAY C10093"/>
    <x v="0"/>
    <x v="5"/>
  </r>
  <r>
    <s v="statement_2026_03.csv"/>
    <d v="2026-03-28T00:00:00"/>
    <d v="2026-03-28T00:00:00"/>
    <s v="CHICK-FIL-A #04418      TORONTO"/>
    <n v="20.46"/>
    <s v="CHICK-FIL-A #04418"/>
    <x v="0"/>
    <x v="1"/>
  </r>
  <r>
    <s v="statement_2026_03.csv"/>
    <d v="2026-03-28T00:00:00"/>
    <d v="2026-03-30T00:00:00"/>
    <s v="SHELL EASYPAY C10093    VANCOUVER"/>
    <n v="71.02"/>
    <s v="SHELL EASYPAY C10093"/>
    <x v="0"/>
    <x v="5"/>
  </r>
  <r>
    <s v="statement_2026_03.csv"/>
    <d v="2026-03-27T00:00:00"/>
    <d v="2026-03-28T00:00:00"/>
    <s v="CITY OF VAN PAYBYPHONE  VANCOUVER"/>
    <n v="5.04"/>
    <s v="CITY OF VAN PAYBYPHONE"/>
    <x v="0"/>
    <x v="6"/>
  </r>
  <r>
    <s v="statement_2026_03.csv"/>
    <d v="2026-03-26T00:00:00"/>
    <d v="2026-03-27T00:00:00"/>
    <s v="MAPLE HAIR STUDIO       VANCOUVER"/>
    <n v="64.23"/>
    <s v="MAPLE HAIR STUDIO"/>
    <x v="0"/>
    <x v="7"/>
  </r>
  <r>
    <s v="statement_2026_03.csv"/>
    <d v="2026-03-23T00:00:00"/>
    <d v="2026-03-24T00:00:00"/>
    <s v="IMPARK00120045U         VANCOUVER"/>
    <n v="10.39"/>
    <s v="IMPARK00120045U"/>
    <x v="0"/>
    <x v="6"/>
  </r>
  <r>
    <s v="statement_2026_03.csv"/>
    <d v="2026-03-22T00:00:00"/>
    <d v="2026-03-22T00:00:00"/>
    <s v="H-MART CANADA - 004     COQUITLAM"/>
    <n v="32.479999999999997"/>
    <s v="H-MART CANADA - 004"/>
    <x v="0"/>
    <x v="4"/>
  </r>
  <r>
    <s v="statement_2026_03.csv"/>
    <d v="2026-03-22T00:00:00"/>
    <d v="2026-03-22T00:00:00"/>
    <s v="EVO CAR SHARE           BURNABY"/>
    <n v="18.68"/>
    <s v="EVO CAR SHARE"/>
    <x v="0"/>
    <x v="8"/>
  </r>
  <r>
    <s v="statement_2026_03.csv"/>
    <d v="2026-03-21T00:00:00"/>
    <d v="2026-03-23T00:00:00"/>
    <s v="SAFEWAY #4921           VANCOUVER"/>
    <n v="20.73"/>
    <s v="SAFEWAY #4921"/>
    <x v="0"/>
    <x v="4"/>
  </r>
  <r>
    <s v="statement_2026_03.csv"/>
    <d v="2026-03-21T00:00:00"/>
    <d v="2026-03-21T00:00:00"/>
    <s v="NORTHSHORE COFFEE CO    VANCOUVER"/>
    <n v="5.54"/>
    <s v="NORTHSHORE COFFEE CO"/>
    <x v="0"/>
    <x v="0"/>
  </r>
  <r>
    <s v="statement_2026_03.csv"/>
    <d v="2026-03-21T00:00:00"/>
    <d v="2026-03-22T00:00:00"/>
    <s v="CHICK-FIL-A #04418      TORONTO"/>
    <n v="17.760000000000002"/>
    <s v="CHICK-FIL-A #04418"/>
    <x v="0"/>
    <x v="1"/>
  </r>
  <r>
    <s v="statement_2026_03.csv"/>
    <d v="2026-03-21T00:00:00"/>
    <d v="2026-03-22T00:00:00"/>
    <s v="MEMBERSHIP FEE INSTALLMENT"/>
    <n v="15.99"/>
    <s v="MEMBERSHIP FEE INSTALLMENT"/>
    <x v="0"/>
    <x v="9"/>
  </r>
  <r>
    <s v="statement_2026_03.csv"/>
    <d v="2026-03-20T00:00:00"/>
    <d v="2026-03-20T00:00:00"/>
    <s v="HANNAM SUPERMARKET BUR  BURNABY"/>
    <n v="48.99"/>
    <s v="HANNAM SUPERMARKET BUR"/>
    <x v="0"/>
    <x v="4"/>
  </r>
  <r>
    <s v="statement_2026_03.csv"/>
    <d v="2026-03-20T00:00:00"/>
    <d v="2026-03-20T00:00:00"/>
    <s v="STARBUCKS STORE 5512    VANCOUVER"/>
    <n v="8.69"/>
    <s v="STARBUCKS STORE 5512"/>
    <x v="0"/>
    <x v="0"/>
  </r>
  <r>
    <s v="statement_2026_03.csv"/>
    <d v="2026-03-20T00:00:00"/>
    <d v="2026-03-20T00:00:00"/>
    <s v="STARBUCKS STORE 5512    VANCOUVER"/>
    <n v="11.16"/>
    <s v="STARBUCKS STORE 5512"/>
    <x v="0"/>
    <x v="0"/>
  </r>
  <r>
    <s v="statement_2026_03.csv"/>
    <d v="2026-03-20T00:00:00"/>
    <d v="2026-03-20T00:00:00"/>
    <s v="CITY OF VAN PAYBYPHONE  VANCOUVER"/>
    <n v="6.05"/>
    <s v="CITY OF VAN PAYBYPHONE"/>
    <x v="0"/>
    <x v="6"/>
  </r>
  <r>
    <s v="statement_2026_03.csv"/>
    <d v="2026-03-20T00:00:00"/>
    <d v="2026-03-21T00:00:00"/>
    <s v="ANTHROPIC* CLAUDE SUB   SAN FRANCISCO"/>
    <n v="28"/>
    <s v="ANTHROPIC* CLAUDE SUB"/>
    <x v="0"/>
    <x v="10"/>
  </r>
  <r>
    <s v="statement_2026_03.csv"/>
    <d v="2026-03-19T00:00:00"/>
    <d v="2026-03-19T00:00:00"/>
    <s v="STARBUCKS STORE 5512    VANCOUVER"/>
    <n v="5.92"/>
    <s v="STARBUCKS STORE 5512"/>
    <x v="0"/>
    <x v="0"/>
  </r>
  <r>
    <s v="statement_2026_03.csv"/>
    <d v="2026-03-18T00:00:00"/>
    <d v="2026-03-18T00:00:00"/>
    <s v="UBER TRIP               VANCOUVER"/>
    <n v="14.94"/>
    <s v="UBER TRIP"/>
    <x v="0"/>
    <x v="3"/>
  </r>
  <r>
    <s v="statement_2026_03.csv"/>
    <d v="2026-03-17T00:00:00"/>
    <d v="2026-03-18T00:00:00"/>
    <s v="BURNABY MOUNTAIN GOLF 7 BURNABY"/>
    <n v="45.23"/>
    <s v="BURNABY MOUNTAIN GOLF 7 BURNABY"/>
    <x v="0"/>
    <x v="11"/>
  </r>
  <r>
    <s v="statement_2026_03.csv"/>
    <d v="2026-03-16T00:00:00"/>
    <d v="2026-03-18T00:00:00"/>
    <s v="UBER TRIP               VANCOUVER"/>
    <n v="22.94"/>
    <s v="UBER TRIP"/>
    <x v="0"/>
    <x v="3"/>
  </r>
  <r>
    <s v="statement_2026_03.csv"/>
    <d v="2026-03-16T00:00:00"/>
    <d v="2026-03-18T00:00:00"/>
    <s v="SHOPPERS DRUG MART #22  VANCOUVER"/>
    <n v="32.840000000000003"/>
    <s v="SHOPPERS DRUG MART #22"/>
    <x v="0"/>
    <x v="7"/>
  </r>
  <r>
    <s v="statement_2026_03.csv"/>
    <d v="2026-03-15T00:00:00"/>
    <d v="2026-03-16T00:00:00"/>
    <s v="PETRO-CANADA 91215      VANCOUVER"/>
    <n v="67.599999999999994"/>
    <s v="PETRO-CANADA 91215"/>
    <x v="0"/>
    <x v="5"/>
  </r>
  <r>
    <s v="statement_2026_03.csv"/>
    <d v="2026-03-15T00:00:00"/>
    <d v="2026-03-15T00:00:00"/>
    <s v="CINEPLEX #8030 WEB QP   VANCOUVER"/>
    <n v="16.809999999999999"/>
    <s v="CINEPLEX #8030 WEB QP"/>
    <x v="0"/>
    <x v="12"/>
  </r>
  <r>
    <s v="statement_2026_03.csv"/>
    <d v="2026-03-15T00:00:00"/>
    <d v="2026-03-17T00:00:00"/>
    <s v="RIVERSIDE ARCADE        RICHMOND"/>
    <n v="28.03"/>
    <s v="RIVERSIDE ARCADE"/>
    <x v="0"/>
    <x v="13"/>
  </r>
  <r>
    <s v="statement_2026_03.csv"/>
    <d v="2026-03-14T00:00:00"/>
    <d v="2026-03-15T00:00:00"/>
    <s v="SHELL EASYPAY C10093    VANCOUVER"/>
    <n v="54.32"/>
    <s v="SHELL EASYPAY C10093"/>
    <x v="0"/>
    <x v="5"/>
  </r>
  <r>
    <s v="statement_2026_03.csv"/>
    <d v="2026-03-14T00:00:00"/>
    <d v="2026-03-14T00:00:00"/>
    <s v="BCAA-INSURANCE          BURNABY"/>
    <n v="79.22"/>
    <s v="BCAA-INSURANCE"/>
    <x v="0"/>
    <x v="14"/>
  </r>
  <r>
    <s v="statement_2026_03.csv"/>
    <d v="2026-03-13T00:00:00"/>
    <d v="2026-03-14T00:00:00"/>
    <s v="ZARA CANADA 3321        VANCOUVER"/>
    <n v="48.86"/>
    <s v="ZARA CANADA 3321"/>
    <x v="0"/>
    <x v="2"/>
  </r>
  <r>
    <s v="statement_2026_03.csv"/>
    <d v="2026-03-11T00:00:00"/>
    <d v="2026-03-11T00:00:00"/>
    <s v="H-MART CANADA - 004     COQUITLAM"/>
    <n v="94.46"/>
    <s v="H-MART CANADA - 004"/>
    <x v="0"/>
    <x v="4"/>
  </r>
  <r>
    <s v="statement_2026_03.csv"/>
    <d v="2026-03-11T00:00:00"/>
    <d v="2026-03-12T00:00:00"/>
    <s v="VIET HOUSE 001          VANCOUVER"/>
    <n v="30.17"/>
    <s v="VIET HOUSE 001"/>
    <x v="0"/>
    <x v="1"/>
  </r>
  <r>
    <s v="statement_2026_03.csv"/>
    <d v="2026-03-11T00:00:00"/>
    <d v="2026-03-13T00:00:00"/>
    <s v="EVO CAR SHARE           BURNABY"/>
    <n v="20.94"/>
    <s v="EVO CAR SHARE"/>
    <x v="0"/>
    <x v="8"/>
  </r>
  <r>
    <s v="statement_2026_03.csv"/>
    <d v="2026-03-10T00:00:00"/>
    <d v="2026-03-11T00:00:00"/>
    <s v="CITY OF VAN PAYBYPHONE  VANCOUVER"/>
    <n v="4.09"/>
    <s v="CITY OF VAN PAYBYPHONE"/>
    <x v="0"/>
    <x v="6"/>
  </r>
  <r>
    <s v="statement_2026_03.csv"/>
    <d v="2026-03-10T00:00:00"/>
    <d v="2026-03-10T00:00:00"/>
    <s v="IMPARK00120045U         VANCOUVER"/>
    <n v="9.67"/>
    <s v="IMPARK00120045U"/>
    <x v="0"/>
    <x v="6"/>
  </r>
  <r>
    <s v="statement_2026_03.csv"/>
    <d v="2026-03-09T00:00:00"/>
    <d v="2026-03-11T00:00:00"/>
    <s v="PIXELWORKS STUDIO       TORONTO"/>
    <n v="20.62"/>
    <s v="PIXELWORKS STUDIO"/>
    <x v="0"/>
    <x v="13"/>
  </r>
  <r>
    <s v="statement_2026_03.csv"/>
    <d v="2026-03-08T00:00:00"/>
    <d v="2026-03-09T00:00:00"/>
    <s v="RONA+ GRANDVIEW 83704 R VANCOUVER"/>
    <n v="40.72"/>
    <s v="RONA+ GRANDVIEW 83704 R VANCOUVER"/>
    <x v="0"/>
    <x v="15"/>
  </r>
  <r>
    <s v="statement_2026_03.csv"/>
    <d v="2026-03-07T00:00:00"/>
    <d v="2026-03-07T00:00:00"/>
    <s v="STARBUCKS STORE 5512    VANCOUVER"/>
    <n v="5.23"/>
    <s v="STARBUCKS STORE 5512"/>
    <x v="0"/>
    <x v="0"/>
  </r>
  <r>
    <s v="statement_2026_03.csv"/>
    <d v="2026-03-06T00:00:00"/>
    <d v="2026-03-07T00:00:00"/>
    <s v="H-MART CANADA - 004     COQUITLAM"/>
    <n v="80.05"/>
    <s v="H-MART CANADA - 004"/>
    <x v="0"/>
    <x v="4"/>
  </r>
  <r>
    <s v="statement_2026_03.csv"/>
    <d v="2026-03-06T00:00:00"/>
    <d v="2026-03-08T00:00:00"/>
    <s v="EVO CAR SHARE           BURNABY"/>
    <n v="8.35"/>
    <s v="EVO CAR SHARE"/>
    <x v="0"/>
    <x v="8"/>
  </r>
  <r>
    <s v="statement_2026_03.csv"/>
    <d v="2026-03-06T00:00:00"/>
    <d v="2026-03-07T00:00:00"/>
    <s v="SHOPPERS DRUG MART #22  VANCOUVER"/>
    <n v="26.54"/>
    <s v="SHOPPERS DRUG MART #22"/>
    <x v="0"/>
    <x v="7"/>
  </r>
  <r>
    <s v="statement_2026_03.csv"/>
    <d v="2026-03-05T00:00:00"/>
    <d v="2026-03-07T00:00:00"/>
    <s v="WHOLE FOODS MARKET      BURNABY"/>
    <n v="34.32"/>
    <s v="WHOLE FOODS MARKET"/>
    <x v="0"/>
    <x v="4"/>
  </r>
  <r>
    <s v="statement_2026_03.csv"/>
    <d v="2026-03-05T00:00:00"/>
    <d v="2026-03-05T00:00:00"/>
    <s v="SAFEWAY #4921           VANCOUVER"/>
    <n v="51.24"/>
    <s v="SAFEWAY #4921"/>
    <x v="0"/>
    <x v="4"/>
  </r>
  <r>
    <s v="statement_2026_03.csv"/>
    <d v="2026-03-05T00:00:00"/>
    <d v="2026-03-07T00:00:00"/>
    <s v="SHOPPERS DRUG MART #22  VANCOUVER"/>
    <n v="41.93"/>
    <s v="SHOPPERS DRUG MART #22"/>
    <x v="0"/>
    <x v="7"/>
  </r>
  <r>
    <s v="statement_2026_03.csv"/>
    <d v="2026-03-04T00:00:00"/>
    <d v="2026-03-04T00:00:00"/>
    <s v="WALMART STORE 3120      RICHMOND"/>
    <n v="68.150000000000006"/>
    <s v="WALMART STORE 3120"/>
    <x v="0"/>
    <x v="4"/>
  </r>
  <r>
    <s v="statement_2026_03.csv"/>
    <d v="2026-03-04T00:00:00"/>
    <d v="2026-03-04T00:00:00"/>
    <s v="CINEPLEX #8030 WEB QP   VANCOUVER"/>
    <n v="19.86"/>
    <s v="CINEPLEX #8030 WEB QP"/>
    <x v="0"/>
    <x v="12"/>
  </r>
  <r>
    <s v="statement_2026_03.csv"/>
    <d v="2026-03-03T00:00:00"/>
    <d v="2026-03-04T00:00:00"/>
    <s v="H-MART CANADA - 004     COQUITLAM"/>
    <n v="59.66"/>
    <s v="H-MART CANADA - 004"/>
    <x v="0"/>
    <x v="4"/>
  </r>
  <r>
    <s v="statement_2026_03.csv"/>
    <d v="2026-03-03T00:00:00"/>
    <d v="2026-03-03T00:00:00"/>
    <s v="TEXAS SMOKE BBQ         VANCOUVER"/>
    <n v="57.16"/>
    <s v="TEXAS SMOKE BBQ"/>
    <x v="0"/>
    <x v="1"/>
  </r>
  <r>
    <s v="statement_2026_03.csv"/>
    <d v="2026-03-01T00:00:00"/>
    <d v="2026-03-01T00:00:00"/>
    <s v="KAMO BAKERY             VANCOUVER"/>
    <n v="18.27"/>
    <s v="KAMO BAKERY"/>
    <x v="0"/>
    <x v="0"/>
  </r>
  <r>
    <s v="statement_2026_03.csv"/>
    <d v="2026-03-01T00:00:00"/>
    <d v="2026-03-01T00:00:00"/>
    <s v="UBER TRIP               VANCOUVER"/>
    <n v="18.63"/>
    <s v="UBER TRIP"/>
    <x v="0"/>
    <x v="3"/>
  </r>
  <r>
    <s v="statement_2026_04.csv"/>
    <d v="2026-04-30T00:00:00"/>
    <d v="2026-04-30T00:00:00"/>
    <s v="NORTHSHORE COFFEE CO    VANCOUVER"/>
    <n v="4.91"/>
    <s v="NORTHSHORE COFFEE CO"/>
    <x v="1"/>
    <x v="0"/>
  </r>
  <r>
    <s v="statement_2026_04.csv"/>
    <d v="2026-04-30T00:00:00"/>
    <d v="2026-05-01T00:00:00"/>
    <s v="IKEA RICHMOND           RICHMOND"/>
    <n v="70.430000000000007"/>
    <s v="IKEA RICHMOND"/>
    <x v="1"/>
    <x v="15"/>
  </r>
  <r>
    <s v="statement_2026_04.csv"/>
    <d v="2026-04-29T00:00:00"/>
    <d v="2026-04-30T00:00:00"/>
    <s v="WHOLE FOODS MARKET      BURNABY"/>
    <n v="56.84"/>
    <s v="WHOLE FOODS MARKET"/>
    <x v="1"/>
    <x v="4"/>
  </r>
  <r>
    <s v="statement_2026_04.csv"/>
    <d v="2026-04-29T00:00:00"/>
    <d v="2026-04-29T00:00:00"/>
    <s v="TEXAS SMOKE BBQ         VANCOUVER"/>
    <n v="43.87"/>
    <s v="TEXAS SMOKE BBQ"/>
    <x v="1"/>
    <x v="1"/>
  </r>
  <r>
    <s v="statement_2026_04.csv"/>
    <d v="2026-04-29T00:00:00"/>
    <d v="2026-04-29T00:00:00"/>
    <s v="PETRO-CANADA 91215      VANCOUVER"/>
    <n v="59.92"/>
    <s v="PETRO-CANADA 91215"/>
    <x v="1"/>
    <x v="5"/>
  </r>
  <r>
    <s v="statement_2026_04.csv"/>
    <d v="2026-04-29T00:00:00"/>
    <d v="2026-04-30T00:00:00"/>
    <s v="CITY OF VAN PAYBYPHONE  VANCOUVER"/>
    <n v="8.2799999999999994"/>
    <s v="CITY OF VAN PAYBYPHONE"/>
    <x v="1"/>
    <x v="6"/>
  </r>
  <r>
    <s v="statement_2026_04.csv"/>
    <d v="2026-04-28T00:00:00"/>
    <d v="2026-04-28T00:00:00"/>
    <s v="STARBUCKS STORE 5512    VANCOUVER"/>
    <n v="9.56"/>
    <s v="STARBUCKS STORE 5512"/>
    <x v="1"/>
    <x v="0"/>
  </r>
  <r>
    <s v="statement_2026_04.csv"/>
    <d v="2026-04-27T00:00:00"/>
    <d v="2026-04-29T00:00:00"/>
    <s v="NORTHSHORE COFFEE CO    VANCOUVER"/>
    <n v="9"/>
    <s v="NORTHSHORE COFFEE CO"/>
    <x v="1"/>
    <x v="0"/>
  </r>
  <r>
    <s v="statement_2026_04.csv"/>
    <d v="2026-04-26T00:00:00"/>
    <d v="2026-04-26T00:00:00"/>
    <s v="UBER TRIP               VANCOUVER"/>
    <n v="31.44"/>
    <s v="UBER TRIP"/>
    <x v="1"/>
    <x v="3"/>
  </r>
  <r>
    <s v="statement_2026_04.csv"/>
    <d v="2026-04-26T00:00:00"/>
    <d v="2026-04-27T00:00:00"/>
    <s v="RONA+ GRANDVIEW 83704 R VANCOUVER"/>
    <n v="15.13"/>
    <s v="RONA+ GRANDVIEW 83704 R VANCOUVER"/>
    <x v="1"/>
    <x v="15"/>
  </r>
  <r>
    <s v="statement_2026_04.csv"/>
    <d v="2026-04-26T00:00:00"/>
    <d v="2026-04-26T00:00:00"/>
    <s v="ALIEXPRESS              SINGAPORE"/>
    <n v="-13.16"/>
    <s v="ALIEXPRESS"/>
    <x v="1"/>
    <x v="16"/>
  </r>
  <r>
    <s v="statement_2026_04.csv"/>
    <d v="2026-04-25T00:00:00"/>
    <d v="2026-04-26T00:00:00"/>
    <s v="SHOPPERS DRUG MART #22  VANCOUVER"/>
    <n v="36.380000000000003"/>
    <s v="SHOPPERS DRUG MART #22"/>
    <x v="1"/>
    <x v="7"/>
  </r>
  <r>
    <s v="statement_2026_04.csv"/>
    <d v="2026-04-23T00:00:00"/>
    <d v="2026-04-24T00:00:00"/>
    <s v="VIET HOUSE 001          VANCOUVER"/>
    <n v="27.76"/>
    <s v="VIET HOUSE 001"/>
    <x v="1"/>
    <x v="1"/>
  </r>
  <r>
    <s v="statement_2026_04.csv"/>
    <d v="2026-04-23T00:00:00"/>
    <d v="2026-04-24T00:00:00"/>
    <s v="VIET HOUSE 001          VANCOUVER"/>
    <n v="23.24"/>
    <s v="VIET HOUSE 001"/>
    <x v="1"/>
    <x v="1"/>
  </r>
  <r>
    <s v="statement_2026_04.csv"/>
    <d v="2026-04-23T00:00:00"/>
    <d v="2026-04-24T00:00:00"/>
    <s v="ALIEXPRESS              SINGAPORE"/>
    <n v="16.149999999999999"/>
    <s v="ALIEXPRESS"/>
    <x v="1"/>
    <x v="16"/>
  </r>
  <r>
    <s v="statement_2026_04.csv"/>
    <d v="2026-04-23T00:00:00"/>
    <d v="2026-04-25T00:00:00"/>
    <s v="ZARA CANADA 3321        VANCOUVER"/>
    <n v="104.9"/>
    <s v="ZARA CANADA 3321"/>
    <x v="1"/>
    <x v="2"/>
  </r>
  <r>
    <s v="statement_2026_04.csv"/>
    <d v="2026-04-22T00:00:00"/>
    <d v="2026-04-23T00:00:00"/>
    <s v="CITY OF VAN PAYBYPHONE  VANCOUVER"/>
    <n v="2.4"/>
    <s v="CITY OF VAN PAYBYPHONE"/>
    <x v="1"/>
    <x v="6"/>
  </r>
  <r>
    <s v="statement_2026_04.csv"/>
    <d v="2026-04-22T00:00:00"/>
    <d v="2026-04-22T00:00:00"/>
    <s v="CITY OF VAN PAYBYPHONE  VANCOUVER"/>
    <n v="3.46"/>
    <s v="CITY OF VAN PAYBYPHONE"/>
    <x v="1"/>
    <x v="6"/>
  </r>
  <r>
    <s v="statement_2026_04.csv"/>
    <d v="2026-04-22T00:00:00"/>
    <d v="2026-04-23T00:00:00"/>
    <s v="IMPARK00120045U         VANCOUVER"/>
    <n v="5.72"/>
    <s v="IMPARK00120045U"/>
    <x v="1"/>
    <x v="6"/>
  </r>
  <r>
    <s v="statement_2026_04.csv"/>
    <d v="2026-04-22T00:00:00"/>
    <d v="2026-04-23T00:00:00"/>
    <s v="UBER TRIP               VANCOUVER"/>
    <n v="29.15"/>
    <s v="UBER TRIP"/>
    <x v="1"/>
    <x v="3"/>
  </r>
  <r>
    <s v="statement_2026_04.csv"/>
    <d v="2026-04-21T00:00:00"/>
    <d v="2026-04-21T00:00:00"/>
    <s v="MEMBERSHIP FEE INSTALLMENT"/>
    <n v="15.99"/>
    <s v="MEMBERSHIP FEE INSTALLMENT"/>
    <x v="1"/>
    <x v="9"/>
  </r>
  <r>
    <s v="statement_2026_04.csv"/>
    <d v="2026-04-20T00:00:00"/>
    <d v="2026-04-21T00:00:00"/>
    <s v="H-MART CANADA - 004     COQUITLAM"/>
    <n v="81.8"/>
    <s v="H-MART CANADA - 004"/>
    <x v="1"/>
    <x v="4"/>
  </r>
  <r>
    <s v="statement_2026_04.csv"/>
    <d v="2026-04-20T00:00:00"/>
    <d v="2026-04-20T00:00:00"/>
    <s v="SAFEWAY #4921           VANCOUVER"/>
    <n v="24.89"/>
    <s v="SAFEWAY #4921"/>
    <x v="1"/>
    <x v="4"/>
  </r>
  <r>
    <s v="statement_2026_04.csv"/>
    <d v="2026-04-20T00:00:00"/>
    <d v="2026-04-20T00:00:00"/>
    <s v="SHELL EASYPAY C10093    VANCOUVER"/>
    <n v="77.38"/>
    <s v="SHELL EASYPAY C10093"/>
    <x v="1"/>
    <x v="5"/>
  </r>
  <r>
    <s v="statement_2026_04.csv"/>
    <d v="2026-04-20T00:00:00"/>
    <d v="2026-04-21T00:00:00"/>
    <s v="ANTHROPIC* CLAUDE SUB   SAN FRANCISCO"/>
    <n v="28"/>
    <s v="ANTHROPIC* CLAUDE SUB"/>
    <x v="1"/>
    <x v="10"/>
  </r>
  <r>
    <s v="statement_2026_04.csv"/>
    <d v="2026-04-19T00:00:00"/>
    <d v="2026-04-21T00:00:00"/>
    <s v="CITY OF VAN PAYBYPHONE  VANCOUVER"/>
    <n v="2.85"/>
    <s v="CITY OF VAN PAYBYPHONE"/>
    <x v="1"/>
    <x v="6"/>
  </r>
  <r>
    <s v="statement_2026_04.csv"/>
    <d v="2026-04-17T00:00:00"/>
    <d v="2026-04-18T00:00:00"/>
    <s v="BURNABY MOUNTAIN GOLF 7 BURNABY"/>
    <n v="49.98"/>
    <s v="BURNABY MOUNTAIN GOLF 7 BURNABY"/>
    <x v="1"/>
    <x v="11"/>
  </r>
  <r>
    <s v="statement_2026_04.csv"/>
    <d v="2026-04-16T00:00:00"/>
    <d v="2026-04-18T00:00:00"/>
    <s v="STARBUCKS STORE 5512    VANCOUVER"/>
    <n v="11.17"/>
    <s v="STARBUCKS STORE 5512"/>
    <x v="1"/>
    <x v="0"/>
  </r>
  <r>
    <s v="statement_2026_04.csv"/>
    <d v="2026-04-15T00:00:00"/>
    <d v="2026-04-15T00:00:00"/>
    <s v="MODO CO OPERATIVE       VANCOUVER"/>
    <n v="15.08"/>
    <s v="MODO CO OPERATIVE"/>
    <x v="1"/>
    <x v="8"/>
  </r>
  <r>
    <s v="statement_2026_04.csv"/>
    <d v="2026-04-14T00:00:00"/>
    <d v="2026-04-16T00:00:00"/>
    <s v="BCAA-INSURANCE          BURNABY"/>
    <n v="79.22"/>
    <s v="BCAA-INSURANCE"/>
    <x v="1"/>
    <x v="14"/>
  </r>
  <r>
    <s v="statement_2026_04.csv"/>
    <d v="2026-04-13T00:00:00"/>
    <d v="2026-04-13T00:00:00"/>
    <s v="NORTHSHORE COFFEE CO    VANCOUVER"/>
    <n v="8.59"/>
    <s v="NORTHSHORE COFFEE CO"/>
    <x v="1"/>
    <x v="0"/>
  </r>
  <r>
    <s v="statement_2026_04.csv"/>
    <d v="2026-04-11T00:00:00"/>
    <d v="2026-04-11T00:00:00"/>
    <s v="IKEA RICHMOND           RICHMOND"/>
    <n v="123.45"/>
    <s v="IKEA RICHMOND"/>
    <x v="1"/>
    <x v="15"/>
  </r>
  <r>
    <s v="statement_2026_04.csv"/>
    <d v="2026-04-10T00:00:00"/>
    <d v="2026-04-10T00:00:00"/>
    <s v="HANNAM SUPERMARKET BUR  BURNABY"/>
    <n v="50.29"/>
    <s v="HANNAM SUPERMARKET BUR"/>
    <x v="1"/>
    <x v="4"/>
  </r>
  <r>
    <s v="statement_2026_04.csv"/>
    <d v="2026-04-09T00:00:00"/>
    <d v="2026-04-11T00:00:00"/>
    <s v="KAMO BAKERY             VANCOUVER"/>
    <n v="25.63"/>
    <s v="KAMO BAKERY"/>
    <x v="1"/>
    <x v="0"/>
  </r>
  <r>
    <s v="statement_2026_04.csv"/>
    <d v="2026-04-09T00:00:00"/>
    <d v="2026-04-09T00:00:00"/>
    <s v="RIVERSIDE ARCADE        RICHMOND"/>
    <n v="25.83"/>
    <s v="RIVERSIDE ARCADE"/>
    <x v="1"/>
    <x v="13"/>
  </r>
  <r>
    <s v="statement_2026_04.csv"/>
    <d v="2026-04-08T00:00:00"/>
    <d v="2026-04-10T00:00:00"/>
    <s v="PETRO-CANADA 91215      VANCOUVER"/>
    <n v="72.069999999999993"/>
    <s v="PETRO-CANADA 91215"/>
    <x v="1"/>
    <x v="5"/>
  </r>
  <r>
    <s v="statement_2026_04.csv"/>
    <d v="2026-04-08T00:00:00"/>
    <d v="2026-04-08T00:00:00"/>
    <s v="UBER TRIP               VANCOUVER"/>
    <n v="9.3699999999999992"/>
    <s v="UBER TRIP"/>
    <x v="1"/>
    <x v="3"/>
  </r>
  <r>
    <s v="statement_2026_04.csv"/>
    <d v="2026-04-06T00:00:00"/>
    <d v="2026-04-07T00:00:00"/>
    <s v="KAMO BAKERY             VANCOUVER"/>
    <n v="19.98"/>
    <s v="KAMO BAKERY"/>
    <x v="1"/>
    <x v="0"/>
  </r>
  <r>
    <s v="statement_2026_04.csv"/>
    <d v="2026-04-06T00:00:00"/>
    <d v="2026-04-07T00:00:00"/>
    <s v="KAMO BAKERY             VANCOUVER"/>
    <n v="17.78"/>
    <s v="KAMO BAKERY"/>
    <x v="1"/>
    <x v="0"/>
  </r>
  <r>
    <s v="statement_2026_04.csv"/>
    <d v="2026-04-06T00:00:00"/>
    <d v="2026-04-06T00:00:00"/>
    <s v="EVO CAR SHARE           BURNABY"/>
    <n v="13.3"/>
    <s v="EVO CAR SHARE"/>
    <x v="1"/>
    <x v="8"/>
  </r>
  <r>
    <s v="statement_2026_04.csv"/>
    <d v="2026-04-05T00:00:00"/>
    <d v="2026-04-07T00:00:00"/>
    <s v="NORTHSHORE COFFEE CO    VANCOUVER"/>
    <n v="4.1500000000000004"/>
    <s v="NORTHSHORE COFFEE CO"/>
    <x v="1"/>
    <x v="0"/>
  </r>
  <r>
    <s v="statement_2026_04.csv"/>
    <d v="2026-04-04T00:00:00"/>
    <d v="2026-04-05T00:00:00"/>
    <s v="H-MART CANADA - 004     COQUITLAM"/>
    <n v="55.29"/>
    <s v="H-MART CANADA - 004"/>
    <x v="1"/>
    <x v="4"/>
  </r>
  <r>
    <s v="statement_2026_04.csv"/>
    <d v="2026-04-04T00:00:00"/>
    <d v="2026-04-06T00:00:00"/>
    <s v="CHICK-FIL-A #04418      TORONTO"/>
    <n v="21.95"/>
    <s v="CHICK-FIL-A #04418"/>
    <x v="1"/>
    <x v="1"/>
  </r>
  <r>
    <s v="statement_2026_04.csv"/>
    <d v="2026-04-03T00:00:00"/>
    <d v="2026-04-04T00:00:00"/>
    <s v="WALMART STORE 3120      RICHMOND"/>
    <n v="80.349999999999994"/>
    <s v="WALMART STORE 3120"/>
    <x v="1"/>
    <x v="4"/>
  </r>
  <r>
    <s v="statement_2026_04.csv"/>
    <d v="2026-04-02T00:00:00"/>
    <d v="2026-04-03T00:00:00"/>
    <s v="STARBUCKS STORE 5512    VANCOUVER"/>
    <n v="7.05"/>
    <s v="STARBUCKS STORE 5512"/>
    <x v="1"/>
    <x v="0"/>
  </r>
  <r>
    <s v="statement_2026_04.csv"/>
    <d v="2026-04-02T00:00:00"/>
    <d v="2026-04-03T00:00:00"/>
    <s v="STARBUCKS STORE 5512    VANCOUVER"/>
    <n v="6.09"/>
    <s v="STARBUCKS STORE 5512"/>
    <x v="1"/>
    <x v="0"/>
  </r>
  <r>
    <s v="statement_2026_04.csv"/>
    <d v="2026-04-02T00:00:00"/>
    <d v="2026-04-02T00:00:00"/>
    <s v="LUMEN BOOKSHOP          VANCOUVER"/>
    <n v="37.369999999999997"/>
    <s v="LUMEN BOOKSHOP"/>
    <x v="1"/>
    <x v="13"/>
  </r>
  <r>
    <s v="statement_2026_04.csv"/>
    <d v="2026-04-01T00:00:00"/>
    <d v="2026-04-01T00:00:00"/>
    <s v="H-MART CANADA - 004     COQUITLAM"/>
    <n v="27.03"/>
    <s v="H-MART CANADA - 004"/>
    <x v="1"/>
    <x v="4"/>
  </r>
  <r>
    <s v="statement_2026_05.csv"/>
    <d v="2026-05-31T00:00:00"/>
    <d v="2026-05-31T00:00:00"/>
    <s v="H-MART CANADA - 004     COQUITLAM"/>
    <n v="42.59"/>
    <s v="H-MART CANADA - 004"/>
    <x v="2"/>
    <x v="4"/>
  </r>
  <r>
    <s v="statement_2026_05.csv"/>
    <d v="2026-05-31T00:00:00"/>
    <d v="2026-06-01T00:00:00"/>
    <s v="PETRO-CANADA 91215      VANCOUVER"/>
    <n v="79.400000000000006"/>
    <s v="PETRO-CANADA 91215"/>
    <x v="2"/>
    <x v="5"/>
  </r>
  <r>
    <s v="statement_2026_05.csv"/>
    <d v="2026-05-30T00:00:00"/>
    <d v="2026-05-30T00:00:00"/>
    <s v="CITY OF VAN PAYBYPHONE  VANCOUVER"/>
    <n v="8.2100000000000009"/>
    <s v="CITY OF VAN PAYBYPHONE"/>
    <x v="2"/>
    <x v="6"/>
  </r>
  <r>
    <s v="statement_2026_05.csv"/>
    <d v="2026-05-30T00:00:00"/>
    <d v="2026-05-31T00:00:00"/>
    <s v="IKEA RICHMOND           RICHMOND"/>
    <n v="93.28"/>
    <s v="IKEA RICHMOND"/>
    <x v="2"/>
    <x v="15"/>
  </r>
  <r>
    <s v="statement_2026_05.csv"/>
    <d v="2026-05-30T00:00:00"/>
    <d v="2026-05-31T00:00:00"/>
    <s v="SHOPPERS DRUG MART #22  VANCOUVER"/>
    <n v="18.190000000000001"/>
    <s v="SHOPPERS DRUG MART #22"/>
    <x v="2"/>
    <x v="7"/>
  </r>
  <r>
    <s v="statement_2026_05.csv"/>
    <d v="2026-05-30T00:00:00"/>
    <d v="2026-05-31T00:00:00"/>
    <s v="LUMEN BOOKSHOP          VANCOUVER"/>
    <n v="19.23"/>
    <s v="LUMEN BOOKSHOP"/>
    <x v="2"/>
    <x v="13"/>
  </r>
  <r>
    <s v="statement_2026_05.csv"/>
    <d v="2026-05-30T00:00:00"/>
    <d v="2026-05-31T00:00:00"/>
    <s v="PIXELWORKS STUDIO       TORONTO"/>
    <n v="26.18"/>
    <s v="PIXELWORKS STUDIO"/>
    <x v="2"/>
    <x v="13"/>
  </r>
  <r>
    <s v="statement_2026_05.csv"/>
    <d v="2026-05-29T00:00:00"/>
    <d v="2026-05-29T00:00:00"/>
    <s v="CITY OF VAN PAYBYPHONE  VANCOUVER"/>
    <n v="7.35"/>
    <s v="CITY OF VAN PAYBYPHONE"/>
    <x v="2"/>
    <x v="6"/>
  </r>
  <r>
    <s v="statement_2026_05.csv"/>
    <d v="2026-05-27T00:00:00"/>
    <d v="2026-05-28T00:00:00"/>
    <s v="WALMART STORE 3120      RICHMOND"/>
    <n v="50.83"/>
    <s v="WALMART STORE 3120"/>
    <x v="2"/>
    <x v="4"/>
  </r>
  <r>
    <s v="statement_2026_05.csv"/>
    <d v="2026-05-27T00:00:00"/>
    <d v="2026-05-27T00:00:00"/>
    <s v="BURNABY MOUNTAIN GOLF 7 BURNABY"/>
    <n v="52.56"/>
    <s v="BURNABY MOUNTAIN GOLF 7 BURNABY"/>
    <x v="2"/>
    <x v="11"/>
  </r>
  <r>
    <s v="statement_2026_05.csv"/>
    <d v="2026-05-26T00:00:00"/>
    <d v="2026-05-26T00:00:00"/>
    <s v="STARBUCKS STORE 5512    VANCOUVER"/>
    <n v="8.24"/>
    <s v="STARBUCKS STORE 5512"/>
    <x v="2"/>
    <x v="0"/>
  </r>
  <r>
    <s v="statement_2026_05.csv"/>
    <d v="2026-05-26T00:00:00"/>
    <d v="2026-05-27T00:00:00"/>
    <s v="VIET HOUSE 001          VANCOUVER"/>
    <n v="30.3"/>
    <s v="VIET HOUSE 001"/>
    <x v="2"/>
    <x v="1"/>
  </r>
  <r>
    <s v="statement_2026_05.csv"/>
    <d v="2026-05-26T00:00:00"/>
    <d v="2026-05-27T00:00:00"/>
    <s v="UBER TRIP               VANCOUVER"/>
    <n v="20.98"/>
    <s v="UBER TRIP"/>
    <x v="2"/>
    <x v="3"/>
  </r>
  <r>
    <s v="statement_2026_05.csv"/>
    <d v="2026-05-25T00:00:00"/>
    <d v="2026-05-26T00:00:00"/>
    <s v="SHELL EASYPAY C10093    VANCOUVER"/>
    <n v="70.28"/>
    <s v="SHELL EASYPAY C10093"/>
    <x v="2"/>
    <x v="5"/>
  </r>
  <r>
    <s v="statement_2026_05.csv"/>
    <d v="2026-05-25T00:00:00"/>
    <d v="2026-05-26T00:00:00"/>
    <s v="UBER TRIP               VANCOUVER"/>
    <n v="24.57"/>
    <s v="UBER TRIP"/>
    <x v="2"/>
    <x v="3"/>
  </r>
  <r>
    <s v="statement_2026_05.csv"/>
    <d v="2026-05-24T00:00:00"/>
    <d v="2026-05-24T00:00:00"/>
    <s v="SAFEWAY #4921           VANCOUVER"/>
    <n v="34.01"/>
    <s v="SAFEWAY #4921"/>
    <x v="2"/>
    <x v="4"/>
  </r>
  <r>
    <s v="statement_2026_05.csv"/>
    <d v="2026-05-23T00:00:00"/>
    <d v="2026-05-24T00:00:00"/>
    <s v="PETRO-CANADA 91215      VANCOUVER"/>
    <n v="43.62"/>
    <s v="PETRO-CANADA 91215"/>
    <x v="2"/>
    <x v="5"/>
  </r>
  <r>
    <s v="statement_2026_05.csv"/>
    <d v="2026-05-22T00:00:00"/>
    <d v="2026-05-22T00:00:00"/>
    <s v="CITY OF VAN PAYBYPHONE  VANCOUVER"/>
    <n v="7.66"/>
    <s v="CITY OF VAN PAYBYPHONE"/>
    <x v="2"/>
    <x v="6"/>
  </r>
  <r>
    <s v="statement_2026_05.csv"/>
    <d v="2026-05-21T00:00:00"/>
    <d v="2026-05-21T00:00:00"/>
    <s v="WHOLE FOODS MARKET      BURNABY"/>
    <n v="64.680000000000007"/>
    <s v="WHOLE FOODS MARKET"/>
    <x v="2"/>
    <x v="4"/>
  </r>
  <r>
    <s v="statement_2026_05.csv"/>
    <d v="2026-05-21T00:00:00"/>
    <d v="2026-05-21T00:00:00"/>
    <s v="STARBUCKS STORE 5512    VANCOUVER"/>
    <n v="7.89"/>
    <s v="STARBUCKS STORE 5512"/>
    <x v="2"/>
    <x v="0"/>
  </r>
  <r>
    <s v="statement_2026_05.csv"/>
    <d v="2026-05-21T00:00:00"/>
    <d v="2026-05-21T00:00:00"/>
    <s v="NORTHSHORE COFFEE CO    VANCOUVER"/>
    <n v="6.17"/>
    <s v="NORTHSHORE COFFEE CO"/>
    <x v="2"/>
    <x v="0"/>
  </r>
  <r>
    <s v="statement_2026_05.csv"/>
    <d v="2026-05-21T00:00:00"/>
    <d v="2026-05-21T00:00:00"/>
    <s v="MEMBERSHIP FEE INSTALLMENT"/>
    <n v="15.99"/>
    <s v="MEMBERSHIP FEE INSTALLMENT"/>
    <x v="2"/>
    <x v="9"/>
  </r>
  <r>
    <s v="statement_2026_05.csv"/>
    <d v="2026-05-20T00:00:00"/>
    <d v="2026-05-20T00:00:00"/>
    <s v="H-MART CANADA - 004     COQUITLAM"/>
    <n v="26.29"/>
    <s v="H-MART CANADA - 004"/>
    <x v="2"/>
    <x v="4"/>
  </r>
  <r>
    <s v="statement_2026_05.csv"/>
    <d v="2026-05-20T00:00:00"/>
    <d v="2026-05-20T00:00:00"/>
    <s v="EVO CAR SHARE           BURNABY"/>
    <n v="21.71"/>
    <s v="EVO CAR SHARE"/>
    <x v="2"/>
    <x v="8"/>
  </r>
  <r>
    <s v="statement_2026_05.csv"/>
    <d v="2026-05-20T00:00:00"/>
    <d v="2026-05-22T00:00:00"/>
    <s v="ANTHROPIC* CLAUDE SUB   SAN FRANCISCO"/>
    <n v="28"/>
    <s v="ANTHROPIC* CLAUDE SUB"/>
    <x v="2"/>
    <x v="10"/>
  </r>
  <r>
    <s v="statement_2026_05.csv"/>
    <d v="2026-05-19T00:00:00"/>
    <d v="2026-05-19T00:00:00"/>
    <s v="WHOLE FOODS MARKET      BURNABY"/>
    <n v="62.31"/>
    <s v="WHOLE FOODS MARKET"/>
    <x v="2"/>
    <x v="4"/>
  </r>
  <r>
    <s v="statement_2026_05.csv"/>
    <d v="2026-05-18T00:00:00"/>
    <d v="2026-05-19T00:00:00"/>
    <s v="H-MART CANADA - 004     COQUITLAM"/>
    <n v="28.24"/>
    <s v="H-MART CANADA - 004"/>
    <x v="2"/>
    <x v="4"/>
  </r>
  <r>
    <s v="statement_2026_05.csv"/>
    <d v="2026-05-18T00:00:00"/>
    <d v="2026-05-18T00:00:00"/>
    <s v="ALIEXPRESS              SINGAPORE"/>
    <n v="17.03"/>
    <s v="ALIEXPRESS"/>
    <x v="2"/>
    <x v="16"/>
  </r>
  <r>
    <s v="statement_2026_05.csv"/>
    <d v="2026-05-18T00:00:00"/>
    <d v="2026-05-20T00:00:00"/>
    <s v="CINEPLEX #8030 WEB QP   VANCOUVER"/>
    <n v="32.909999999999997"/>
    <s v="CINEPLEX #8030 WEB QP"/>
    <x v="2"/>
    <x v="12"/>
  </r>
  <r>
    <s v="statement_2026_05.csv"/>
    <d v="2026-05-17T00:00:00"/>
    <d v="2026-05-19T00:00:00"/>
    <s v="VIET HOUSE 001          VANCOUVER"/>
    <n v="29.55"/>
    <s v="VIET HOUSE 001"/>
    <x v="2"/>
    <x v="1"/>
  </r>
  <r>
    <s v="statement_2026_05.csv"/>
    <d v="2026-05-17T00:00:00"/>
    <d v="2026-05-18T00:00:00"/>
    <s v="EVO CAR SHARE           BURNABY"/>
    <n v="10.53"/>
    <s v="EVO CAR SHARE"/>
    <x v="2"/>
    <x v="8"/>
  </r>
  <r>
    <s v="statement_2026_05.csv"/>
    <d v="2026-05-16T00:00:00"/>
    <d v="2026-05-18T00:00:00"/>
    <s v="PETRO-CANADA 91215      VANCOUVER"/>
    <n v="50.2"/>
    <s v="PETRO-CANADA 91215"/>
    <x v="2"/>
    <x v="5"/>
  </r>
  <r>
    <s v="statement_2026_05.csv"/>
    <d v="2026-05-15T00:00:00"/>
    <d v="2026-05-16T00:00:00"/>
    <s v="STARBUCKS STORE 5512    VANCOUVER"/>
    <n v="10.07"/>
    <s v="STARBUCKS STORE 5512"/>
    <x v="2"/>
    <x v="0"/>
  </r>
  <r>
    <s v="statement_2026_05.csv"/>
    <d v="2026-05-14T00:00:00"/>
    <d v="2026-05-15T00:00:00"/>
    <s v="KAMO BAKERY             VANCOUVER"/>
    <n v="26.87"/>
    <s v="KAMO BAKERY"/>
    <x v="2"/>
    <x v="0"/>
  </r>
  <r>
    <s v="statement_2026_05.csv"/>
    <d v="2026-05-14T00:00:00"/>
    <d v="2026-05-16T00:00:00"/>
    <s v="SHELL EASYPAY C10093    VANCOUVER"/>
    <n v="63.83"/>
    <s v="SHELL EASYPAY C10093"/>
    <x v="2"/>
    <x v="5"/>
  </r>
  <r>
    <s v="statement_2026_05.csv"/>
    <d v="2026-05-14T00:00:00"/>
    <d v="2026-05-14T00:00:00"/>
    <s v="BCAA-INSURANCE          BURNABY"/>
    <n v="79.22"/>
    <s v="BCAA-INSURANCE"/>
    <x v="2"/>
    <x v="14"/>
  </r>
  <r>
    <s v="statement_2026_05.csv"/>
    <d v="2026-05-12T00:00:00"/>
    <d v="2026-05-13T00:00:00"/>
    <s v="NORTHSHORE COFFEE CO    VANCOUVER"/>
    <n v="8.75"/>
    <s v="NORTHSHORE COFFEE CO"/>
    <x v="2"/>
    <x v="0"/>
  </r>
  <r>
    <s v="statement_2026_05.csv"/>
    <d v="2026-05-10T00:00:00"/>
    <d v="2026-05-12T00:00:00"/>
    <s v="CHICK-FIL-A #04418      TORONTO"/>
    <n v="15.52"/>
    <s v="CHICK-FIL-A #04418"/>
    <x v="2"/>
    <x v="1"/>
  </r>
  <r>
    <s v="statement_2026_05.csv"/>
    <d v="2026-05-09T00:00:00"/>
    <d v="2026-05-10T00:00:00"/>
    <s v="WALMART STORE 3120      RICHMOND"/>
    <n v="101.46"/>
    <s v="WALMART STORE 3120"/>
    <x v="2"/>
    <x v="4"/>
  </r>
  <r>
    <s v="statement_2026_05.csv"/>
    <d v="2026-05-09T00:00:00"/>
    <d v="2026-05-10T00:00:00"/>
    <s v="NORTHSHORE COFFEE CO    VANCOUVER"/>
    <n v="7.8"/>
    <s v="NORTHSHORE COFFEE CO"/>
    <x v="2"/>
    <x v="0"/>
  </r>
  <r>
    <s v="statement_2026_05.csv"/>
    <d v="2026-05-09T00:00:00"/>
    <d v="2026-05-11T00:00:00"/>
    <s v="KAMO BAKERY             VANCOUVER"/>
    <n v="27.84"/>
    <s v="KAMO BAKERY"/>
    <x v="2"/>
    <x v="0"/>
  </r>
  <r>
    <s v="statement_2026_05.csv"/>
    <d v="2026-05-09T00:00:00"/>
    <d v="2026-05-09T00:00:00"/>
    <s v="IMPARK00120045U         VANCOUVER"/>
    <n v="16.829999999999998"/>
    <s v="IMPARK00120045U"/>
    <x v="2"/>
    <x v="6"/>
  </r>
  <r>
    <s v="statement_2026_05.csv"/>
    <d v="2026-05-08T00:00:00"/>
    <d v="2026-05-09T00:00:00"/>
    <s v="H-MART CANADA - 004     COQUITLAM"/>
    <n v="88.47"/>
    <s v="H-MART CANADA - 004"/>
    <x v="2"/>
    <x v="4"/>
  </r>
  <r>
    <s v="statement_2026_05.csv"/>
    <d v="2026-05-08T00:00:00"/>
    <d v="2026-05-10T00:00:00"/>
    <s v="HANNAM SUPERMARKET BUR  BURNABY"/>
    <n v="51.23"/>
    <s v="HANNAM SUPERMARKET BUR"/>
    <x v="2"/>
    <x v="4"/>
  </r>
  <r>
    <s v="statement_2026_05.csv"/>
    <d v="2026-05-06T00:00:00"/>
    <d v="2026-05-07T00:00:00"/>
    <s v="UBER TRIP               VANCOUVER"/>
    <n v="11.72"/>
    <s v="UBER TRIP"/>
    <x v="2"/>
    <x v="3"/>
  </r>
  <r>
    <s v="statement_2026_05.csv"/>
    <d v="2026-05-04T00:00:00"/>
    <d v="2026-05-04T00:00:00"/>
    <s v="MODO CO OPERATIVE       VANCOUVER"/>
    <n v="14.36"/>
    <s v="MODO CO OPERATIVE"/>
    <x v="2"/>
    <x v="8"/>
  </r>
  <r>
    <s v="statement_2026_05.csv"/>
    <d v="2026-05-03T00:00:00"/>
    <d v="2026-05-03T00:00:00"/>
    <s v="HANNAM SUPERMARKET BUR  BURNABY"/>
    <n v="39.35"/>
    <s v="HANNAM SUPERMARKET BUR"/>
    <x v="2"/>
    <x v="4"/>
  </r>
  <r>
    <s v="statement_2026_05.csv"/>
    <d v="2026-05-03T00:00:00"/>
    <d v="2026-05-03T00:00:00"/>
    <s v="NORTHSHORE COFFEE CO    VANCOUVER"/>
    <n v="8.39"/>
    <s v="NORTHSHORE COFFEE CO"/>
    <x v="2"/>
    <x v="0"/>
  </r>
  <r>
    <s v="statement_2026_05.csv"/>
    <d v="2026-05-03T00:00:00"/>
    <d v="2026-05-04T00:00:00"/>
    <s v="RONA+ GRANDVIEW 83704 R VANCOUVER"/>
    <n v="44.1"/>
    <s v="RONA+ GRANDVIEW 83704 R VANCOUVER"/>
    <x v="2"/>
    <x v="15"/>
  </r>
  <r>
    <s v="statement_2026_05.csv"/>
    <d v="2026-05-02T00:00:00"/>
    <d v="2026-05-03T00:00:00"/>
    <s v="STARBUCKS STORE 5512    VANCOUVER"/>
    <n v="5.34"/>
    <s v="STARBUCKS STORE 5512"/>
    <x v="2"/>
    <x v="0"/>
  </r>
  <r>
    <s v="statement_2026_05.csv"/>
    <d v="2026-05-02T00:00:00"/>
    <d v="2026-05-03T00:00:00"/>
    <s v="VIET HOUSE 001          VANCOUVER"/>
    <n v="35.15"/>
    <s v="VIET HOUSE 001"/>
    <x v="2"/>
    <x v="1"/>
  </r>
  <r>
    <s v="statement_2026_05.csv"/>
    <d v="2026-05-01T00:00:00"/>
    <d v="2026-05-02T00:00:00"/>
    <s v="SAFEWAY #4921           VANCOUVER"/>
    <n v="40.94"/>
    <s v="SAFEWAY #4921"/>
    <x v="2"/>
    <x v="4"/>
  </r>
  <r>
    <s v="statement_2026_05.csv"/>
    <d v="2026-05-01T00:00:00"/>
    <d v="2026-05-02T00:00:00"/>
    <s v="KAMO BAKERY             VANCOUVER"/>
    <n v="14.2"/>
    <s v="KAMO BAKERY"/>
    <x v="2"/>
    <x v="0"/>
  </r>
  <r>
    <s v="statement_2026_06.csv"/>
    <d v="2026-06-30T00:00:00"/>
    <d v="2026-06-30T00:00:00"/>
    <s v="IKEA RICHMOND           RICHMOND"/>
    <n v="93.02"/>
    <s v="IKEA RICHMOND"/>
    <x v="3"/>
    <x v="15"/>
  </r>
  <r>
    <s v="statement_2026_06.csv"/>
    <d v="2026-06-28T00:00:00"/>
    <d v="2026-06-28T00:00:00"/>
    <s v="STARBUCKS STORE 5512    VANCOUVER"/>
    <n v="5.01"/>
    <s v="STARBUCKS STORE 5512"/>
    <x v="3"/>
    <x v="0"/>
  </r>
  <r>
    <s v="statement_2026_06.csv"/>
    <d v="2026-06-27T00:00:00"/>
    <d v="2026-06-27T00:00:00"/>
    <s v="PETRO-CANADA 91215      VANCOUVER"/>
    <n v="73.319999999999993"/>
    <s v="PETRO-CANADA 91215"/>
    <x v="3"/>
    <x v="5"/>
  </r>
  <r>
    <s v="statement_2026_06.csv"/>
    <d v="2026-06-27T00:00:00"/>
    <d v="2026-06-28T00:00:00"/>
    <s v="UBER TRIP               VANCOUVER"/>
    <n v="17.32"/>
    <s v="UBER TRIP"/>
    <x v="3"/>
    <x v="3"/>
  </r>
  <r>
    <s v="statement_2026_06.csv"/>
    <d v="2026-06-26T00:00:00"/>
    <d v="2026-06-27T00:00:00"/>
    <s v="WHOLE FOODS MARKET      BURNABY"/>
    <n v="63.75"/>
    <s v="WHOLE FOODS MARKET"/>
    <x v="3"/>
    <x v="4"/>
  </r>
  <r>
    <s v="statement_2026_06.csv"/>
    <d v="2026-06-24T00:00:00"/>
    <d v="2026-06-26T00:00:00"/>
    <s v="SAFEWAY #4921           VANCOUVER"/>
    <n v="28.3"/>
    <s v="SAFEWAY #4921"/>
    <x v="3"/>
    <x v="4"/>
  </r>
  <r>
    <s v="statement_2026_06.csv"/>
    <d v="2026-06-24T00:00:00"/>
    <d v="2026-06-26T00:00:00"/>
    <s v="NORTHSHORE COFFEE CO    VANCOUVER"/>
    <n v="5.74"/>
    <s v="NORTHSHORE COFFEE CO"/>
    <x v="3"/>
    <x v="0"/>
  </r>
  <r>
    <s v="statement_2026_06.csv"/>
    <d v="2026-06-24T00:00:00"/>
    <d v="2026-06-26T00:00:00"/>
    <s v="UBER TRIP               VANCOUVER"/>
    <n v="20.05"/>
    <s v="UBER TRIP"/>
    <x v="3"/>
    <x v="3"/>
  </r>
  <r>
    <s v="statement_2026_06.csv"/>
    <d v="2026-06-24T00:00:00"/>
    <d v="2026-06-24T00:00:00"/>
    <s v="ALIEXPRESS              SINGAPORE"/>
    <n v="-9.2100000000000009"/>
    <s v="ALIEXPRESS"/>
    <x v="3"/>
    <x v="16"/>
  </r>
  <r>
    <s v="statement_2026_06.csv"/>
    <d v="2026-06-23T00:00:00"/>
    <d v="2026-06-24T00:00:00"/>
    <s v="STARBUCKS STORE 5512    VANCOUVER"/>
    <n v="5.74"/>
    <s v="STARBUCKS STORE 5512"/>
    <x v="3"/>
    <x v="0"/>
  </r>
  <r>
    <s v="statement_2026_06.csv"/>
    <d v="2026-06-23T00:00:00"/>
    <d v="2026-06-23T00:00:00"/>
    <s v="UBER TRIP               VANCOUVER"/>
    <n v="9.7100000000000009"/>
    <s v="UBER TRIP"/>
    <x v="3"/>
    <x v="3"/>
  </r>
  <r>
    <s v="statement_2026_06.csv"/>
    <d v="2026-06-23T00:00:00"/>
    <d v="2026-06-24T00:00:00"/>
    <s v="CINEPLEX #8030 WEB QP   VANCOUVER"/>
    <n v="22.01"/>
    <s v="CINEPLEX #8030 WEB QP"/>
    <x v="3"/>
    <x v="12"/>
  </r>
  <r>
    <s v="statement_2026_06.csv"/>
    <d v="2026-06-22T00:00:00"/>
    <d v="2026-06-24T00:00:00"/>
    <s v="STARBUCKS STORE 5512    VANCOUVER"/>
    <n v="7.27"/>
    <s v="STARBUCKS STORE 5512"/>
    <x v="3"/>
    <x v="0"/>
  </r>
  <r>
    <s v="statement_2026_06.csv"/>
    <d v="2026-06-21T00:00:00"/>
    <d v="2026-06-22T00:00:00"/>
    <s v="HANNAM SUPERMARKET BUR  BURNABY"/>
    <n v="48.69"/>
    <s v="HANNAM SUPERMARKET BUR"/>
    <x v="3"/>
    <x v="4"/>
  </r>
  <r>
    <s v="statement_2026_06.csv"/>
    <d v="2026-06-21T00:00:00"/>
    <d v="2026-06-22T00:00:00"/>
    <s v="TEXAS SMOKE BBQ         VANCOUVER"/>
    <n v="38.869999999999997"/>
    <s v="TEXAS SMOKE BBQ"/>
    <x v="3"/>
    <x v="1"/>
  </r>
  <r>
    <s v="statement_2026_06.csv"/>
    <d v="2026-06-21T00:00:00"/>
    <d v="2026-06-22T00:00:00"/>
    <s v="MEMBERSHIP FEE INSTALLMENT"/>
    <n v="15.99"/>
    <s v="MEMBERSHIP FEE INSTALLMENT"/>
    <x v="3"/>
    <x v="9"/>
  </r>
  <r>
    <s v="statement_2026_06.csv"/>
    <d v="2026-06-20T00:00:00"/>
    <d v="2026-06-20T00:00:00"/>
    <s v="H-MART CANADA - 004     COQUITLAM"/>
    <n v="55.8"/>
    <s v="H-MART CANADA - 004"/>
    <x v="3"/>
    <x v="4"/>
  </r>
  <r>
    <s v="statement_2026_06.csv"/>
    <d v="2026-06-20T00:00:00"/>
    <d v="2026-06-21T00:00:00"/>
    <s v="WHOLE FOODS MARKET      BURNABY"/>
    <n v="50.8"/>
    <s v="WHOLE FOODS MARKET"/>
    <x v="3"/>
    <x v="4"/>
  </r>
  <r>
    <s v="statement_2026_06.csv"/>
    <d v="2026-06-20T00:00:00"/>
    <d v="2026-06-21T00:00:00"/>
    <s v="ANTHROPIC* CLAUDE SUB   SAN FRANCISCO"/>
    <n v="28"/>
    <s v="ANTHROPIC* CLAUDE SUB"/>
    <x v="3"/>
    <x v="10"/>
  </r>
  <r>
    <s v="statement_2026_06.csv"/>
    <d v="2026-06-19T00:00:00"/>
    <d v="2026-06-19T00:00:00"/>
    <s v="H-MART CANADA - 004     COQUITLAM"/>
    <n v="56.73"/>
    <s v="H-MART CANADA - 004"/>
    <x v="3"/>
    <x v="4"/>
  </r>
  <r>
    <s v="statement_2026_06.csv"/>
    <d v="2026-06-18T00:00:00"/>
    <d v="2026-06-20T00:00:00"/>
    <s v="CHICK-FIL-A #04418      TORONTO"/>
    <n v="21.51"/>
    <s v="CHICK-FIL-A #04418"/>
    <x v="3"/>
    <x v="1"/>
  </r>
  <r>
    <s v="statement_2026_06.csv"/>
    <d v="2026-06-17T00:00:00"/>
    <d v="2026-06-18T00:00:00"/>
    <s v="CITY OF VAN PAYBYPHONE  VANCOUVER"/>
    <n v="8.59"/>
    <s v="CITY OF VAN PAYBYPHONE"/>
    <x v="3"/>
    <x v="6"/>
  </r>
  <r>
    <s v="statement_2026_06.csv"/>
    <d v="2026-06-16T00:00:00"/>
    <d v="2026-06-17T00:00:00"/>
    <s v="NORTHSHORE COFFEE CO    VANCOUVER"/>
    <n v="7.52"/>
    <s v="NORTHSHORE COFFEE CO"/>
    <x v="3"/>
    <x v="0"/>
  </r>
  <r>
    <s v="statement_2026_06.csv"/>
    <d v="2026-06-15T00:00:00"/>
    <d v="2026-06-17T00:00:00"/>
    <s v="H-MART CANADA - 004     COQUITLAM"/>
    <n v="28.39"/>
    <s v="H-MART CANADA - 004"/>
    <x v="3"/>
    <x v="4"/>
  </r>
  <r>
    <s v="statement_2026_06.csv"/>
    <d v="2026-06-15T00:00:00"/>
    <d v="2026-06-17T00:00:00"/>
    <s v="STARBUCKS STORE 5512    VANCOUVER"/>
    <n v="9.9700000000000006"/>
    <s v="STARBUCKS STORE 5512"/>
    <x v="3"/>
    <x v="0"/>
  </r>
  <r>
    <s v="statement_2026_06.csv"/>
    <d v="2026-06-15T00:00:00"/>
    <d v="2026-06-16T00:00:00"/>
    <s v="SHOPPERS DRUG MART #22  VANCOUVER"/>
    <n v="28.1"/>
    <s v="SHOPPERS DRUG MART #22"/>
    <x v="3"/>
    <x v="7"/>
  </r>
  <r>
    <s v="statement_2026_06.csv"/>
    <d v="2026-06-15T00:00:00"/>
    <d v="2026-06-15T00:00:00"/>
    <s v="ZARA CANADA 3321        VANCOUVER"/>
    <n v="109.19"/>
    <s v="ZARA CANADA 3321"/>
    <x v="3"/>
    <x v="2"/>
  </r>
  <r>
    <s v="statement_2026_06.csv"/>
    <d v="2026-06-15T00:00:00"/>
    <d v="2026-06-17T00:00:00"/>
    <s v="RIVERSIDE ARCADE        RICHMOND"/>
    <n v="22.76"/>
    <s v="RIVERSIDE ARCADE"/>
    <x v="3"/>
    <x v="13"/>
  </r>
  <r>
    <s v="statement_2026_06.csv"/>
    <d v="2026-06-14T00:00:00"/>
    <d v="2026-06-16T00:00:00"/>
    <s v="PETRO-CANADA 91215      VANCOUVER"/>
    <n v="75.98"/>
    <s v="PETRO-CANADA 91215"/>
    <x v="3"/>
    <x v="5"/>
  </r>
  <r>
    <s v="statement_2026_06.csv"/>
    <d v="2026-06-14T00:00:00"/>
    <d v="2026-06-14T00:00:00"/>
    <s v="BCAA-INSURANCE          BURNABY"/>
    <n v="79.22"/>
    <s v="BCAA-INSURANCE"/>
    <x v="3"/>
    <x v="14"/>
  </r>
  <r>
    <s v="statement_2026_06.csv"/>
    <d v="2026-06-12T00:00:00"/>
    <d v="2026-06-12T00:00:00"/>
    <s v="MODO CO OPERATIVE       VANCOUVER"/>
    <n v="13.3"/>
    <s v="MODO CO OPERATIVE"/>
    <x v="3"/>
    <x v="8"/>
  </r>
  <r>
    <s v="statement_2026_06.csv"/>
    <d v="2026-06-11T00:00:00"/>
    <d v="2026-06-13T00:00:00"/>
    <s v="EVO CAR SHARE           BURNABY"/>
    <n v="15.89"/>
    <s v="EVO CAR SHARE"/>
    <x v="3"/>
    <x v="8"/>
  </r>
  <r>
    <s v="statement_2026_06.csv"/>
    <d v="2026-06-10T00:00:00"/>
    <d v="2026-06-10T00:00:00"/>
    <s v="VIET HOUSE 001          VANCOUVER"/>
    <n v="18.489999999999998"/>
    <s v="VIET HOUSE 001"/>
    <x v="3"/>
    <x v="1"/>
  </r>
  <r>
    <s v="statement_2026_06.csv"/>
    <d v="2026-06-09T00:00:00"/>
    <d v="2026-06-10T00:00:00"/>
    <s v="IMPARK00120045U         VANCOUVER"/>
    <n v="17.25"/>
    <s v="IMPARK00120045U"/>
    <x v="3"/>
    <x v="6"/>
  </r>
  <r>
    <s v="statement_2026_06.csv"/>
    <d v="2026-06-09T00:00:00"/>
    <d v="2026-06-09T00:00:00"/>
    <s v="PIXELWORKS STUDIO       TORONTO"/>
    <n v="37.75"/>
    <s v="PIXELWORKS STUDIO"/>
    <x v="3"/>
    <x v="13"/>
  </r>
  <r>
    <s v="statement_2026_06.csv"/>
    <d v="2026-06-08T00:00:00"/>
    <d v="2026-06-09T00:00:00"/>
    <s v="KAMO BAKERY             VANCOUVER"/>
    <n v="27.1"/>
    <s v="KAMO BAKERY"/>
    <x v="3"/>
    <x v="0"/>
  </r>
  <r>
    <s v="statement_2026_06.csv"/>
    <d v="2026-06-08T00:00:00"/>
    <d v="2026-06-09T00:00:00"/>
    <s v="KAMO BAKERY             VANCOUVER"/>
    <n v="13.7"/>
    <s v="KAMO BAKERY"/>
    <x v="3"/>
    <x v="0"/>
  </r>
  <r>
    <s v="statement_2026_06.csv"/>
    <d v="2026-06-08T00:00:00"/>
    <d v="2026-06-08T00:00:00"/>
    <s v="SHOPPERS DRUG MART #22  VANCOUVER"/>
    <n v="26.41"/>
    <s v="SHOPPERS DRUG MART #22"/>
    <x v="3"/>
    <x v="7"/>
  </r>
  <r>
    <s v="statement_2026_06.csv"/>
    <d v="2026-06-07T00:00:00"/>
    <d v="2026-06-09T00:00:00"/>
    <s v="KAMO BAKERY             VANCOUVER"/>
    <n v="14.66"/>
    <s v="KAMO BAKERY"/>
    <x v="3"/>
    <x v="0"/>
  </r>
  <r>
    <s v="statement_2026_06.csv"/>
    <d v="2026-06-07T00:00:00"/>
    <d v="2026-06-07T00:00:00"/>
    <s v="VIET HOUSE 001          VANCOUVER"/>
    <n v="41.37"/>
    <s v="VIET HOUSE 001"/>
    <x v="3"/>
    <x v="1"/>
  </r>
  <r>
    <s v="statement_2026_06.csv"/>
    <d v="2026-06-07T00:00:00"/>
    <d v="2026-06-07T00:00:00"/>
    <s v="EVO CAR SHARE           BURNABY"/>
    <n v="15.32"/>
    <s v="EVO CAR SHARE"/>
    <x v="3"/>
    <x v="8"/>
  </r>
  <r>
    <s v="statement_2026_06.csv"/>
    <d v="2026-06-04T00:00:00"/>
    <d v="2026-06-05T00:00:00"/>
    <s v="CITY OF VAN PAYBYPHONE  VANCOUVER"/>
    <n v="3.11"/>
    <s v="CITY OF VAN PAYBYPHONE"/>
    <x v="3"/>
    <x v="6"/>
  </r>
  <r>
    <s v="statement_2026_06.csv"/>
    <d v="2026-06-03T00:00:00"/>
    <d v="2026-06-04T00:00:00"/>
    <s v="SAFEWAY #4921           VANCOUVER"/>
    <n v="75.22"/>
    <s v="SAFEWAY #4921"/>
    <x v="3"/>
    <x v="4"/>
  </r>
  <r>
    <s v="statement_2026_06.csv"/>
    <d v="2026-06-03T00:00:00"/>
    <d v="2026-06-04T00:00:00"/>
    <s v="SAFEWAY #4921           VANCOUVER"/>
    <n v="79.22"/>
    <s v="SAFEWAY #4921"/>
    <x v="3"/>
    <x v="4"/>
  </r>
  <r>
    <s v="statement_2026_06.csv"/>
    <d v="2026-06-03T00:00:00"/>
    <d v="2026-06-03T00:00:00"/>
    <s v="SHELL EASYPAY C10093    VANCOUVER"/>
    <n v="54.03"/>
    <s v="SHELL EASYPAY C10093"/>
    <x v="3"/>
    <x v="5"/>
  </r>
  <r>
    <s v="statement_2026_06.csv"/>
    <d v="2026-06-02T00:00:00"/>
    <d v="2026-06-04T00:00:00"/>
    <s v="PETRO-CANADA 91215      VANCOUVER"/>
    <n v="60.93"/>
    <s v="PETRO-CANADA 91215"/>
    <x v="3"/>
    <x v="5"/>
  </r>
  <r>
    <s v="statement_2026_06.csv"/>
    <d v="2026-06-01T00:00:00"/>
    <d v="2026-06-01T00:00:00"/>
    <s v="SHELL EASYPAY C10093    VANCOUVER"/>
    <n v="57.88"/>
    <s v="SHELL EASYPAY C10093"/>
    <x v="3"/>
    <x v="5"/>
  </r>
  <r>
    <s v="statement_2026_06.csv"/>
    <d v="2026-06-01T00:00:00"/>
    <d v="2026-06-01T00:00:00"/>
    <s v="CITY OF VAN PAYBYPHONE  VANCOUVER"/>
    <n v="2.82"/>
    <s v="CITY OF VAN PAYBYPHONE"/>
    <x v="3"/>
    <x v="6"/>
  </r>
  <r>
    <s v="statement_2026_06.csv"/>
    <d v="2026-06-01T00:00:00"/>
    <d v="2026-06-03T00:00:00"/>
    <s v="RONA+ GRANDVIEW 83704 R VANCOUVER"/>
    <n v="27.5"/>
    <s v="RONA+ GRANDVIEW 83704 R VANCOUVER"/>
    <x v="3"/>
    <x v="15"/>
  </r>
  <r>
    <s v="statement_2026_07.csv"/>
    <d v="2026-07-30T00:00:00"/>
    <d v="2026-07-30T00:00:00"/>
    <s v="SAFEWAY #4921           VANCOUVER"/>
    <n v="30.64"/>
    <s v="SAFEWAY #4921"/>
    <x v="4"/>
    <x v="4"/>
  </r>
  <r>
    <s v="statement_2026_07.csv"/>
    <d v="2026-07-30T00:00:00"/>
    <d v="2026-07-31T00:00:00"/>
    <s v="VIET HOUSE 001          VANCOUVER"/>
    <n v="44.26"/>
    <s v="VIET HOUSE 001"/>
    <x v="4"/>
    <x v="1"/>
  </r>
  <r>
    <s v="statement_2026_07.csv"/>
    <d v="2026-07-29T00:00:00"/>
    <d v="2026-07-30T00:00:00"/>
    <s v="STARBUCKS STORE 5512    VANCOUVER"/>
    <n v="9.34"/>
    <s v="STARBUCKS STORE 5512"/>
    <x v="4"/>
    <x v="0"/>
  </r>
  <r>
    <s v="statement_2026_07.csv"/>
    <d v="2026-07-28T00:00:00"/>
    <d v="2026-07-29T00:00:00"/>
    <s v="NORTHSHORE COFFEE CO    VANCOUVER"/>
    <n v="7.45"/>
    <s v="NORTHSHORE COFFEE CO"/>
    <x v="4"/>
    <x v="0"/>
  </r>
  <r>
    <s v="statement_2026_07.csv"/>
    <d v="2026-07-28T00:00:00"/>
    <d v="2026-07-29T00:00:00"/>
    <s v="PETRO-CANADA 91215      VANCOUVER"/>
    <n v="68.959999999999994"/>
    <s v="PETRO-CANADA 91215"/>
    <x v="4"/>
    <x v="5"/>
  </r>
  <r>
    <s v="statement_2026_07.csv"/>
    <d v="2026-07-28T00:00:00"/>
    <d v="2026-07-30T00:00:00"/>
    <s v="BURNABY MOUNTAIN GOLF 7 BURNABY"/>
    <n v="37.76"/>
    <s v="BURNABY MOUNTAIN GOLF 7 BURNABY"/>
    <x v="4"/>
    <x v="11"/>
  </r>
  <r>
    <s v="statement_2026_07.csv"/>
    <d v="2026-07-27T00:00:00"/>
    <d v="2026-07-28T00:00:00"/>
    <s v="NYCT PAYGO              NEW YORK"/>
    <n v="2.9"/>
    <s v="NYCT PAYGO"/>
    <x v="4"/>
    <x v="3"/>
  </r>
  <r>
    <s v="statement_2026_07.csv"/>
    <d v="2026-07-26T00:00:00"/>
    <d v="2026-07-28T00:00:00"/>
    <s v="PETRO-CANADA 91215      VANCOUVER"/>
    <n v="43.38"/>
    <s v="PETRO-CANADA 91215"/>
    <x v="4"/>
    <x v="5"/>
  </r>
  <r>
    <s v="statement_2026_07.csv"/>
    <d v="2026-07-26T00:00:00"/>
    <d v="2026-07-27T00:00:00"/>
    <s v="NYCT PAYGO              NEW YORK"/>
    <n v="2.9"/>
    <s v="NYCT PAYGO"/>
    <x v="4"/>
    <x v="3"/>
  </r>
  <r>
    <s v="statement_2026_07.csv"/>
    <d v="2026-07-26T00:00:00"/>
    <d v="2026-07-27T00:00:00"/>
    <s v="NYCT PAYGO              NEW YORK"/>
    <n v="2.9"/>
    <s v="NYCT PAYGO"/>
    <x v="4"/>
    <x v="3"/>
  </r>
  <r>
    <s v="statement_2026_07.csv"/>
    <d v="2026-07-25T00:00:00"/>
    <d v="2026-07-26T00:00:00"/>
    <s v="H-MART CANADA - 004     COQUITLAM"/>
    <n v="82.99"/>
    <s v="H-MART CANADA - 004"/>
    <x v="4"/>
    <x v="4"/>
  </r>
  <r>
    <s v="statement_2026_07.csv"/>
    <d v="2026-07-25T00:00:00"/>
    <d v="2026-07-26T00:00:00"/>
    <s v="NYCT PAYGO              NEW YORK"/>
    <n v="2.9"/>
    <s v="NYCT PAYGO"/>
    <x v="4"/>
    <x v="3"/>
  </r>
  <r>
    <s v="statement_2026_07.csv"/>
    <d v="2026-07-25T00:00:00"/>
    <d v="2026-07-26T00:00:00"/>
    <s v="NYCT PAYGO              NEW YORK"/>
    <n v="2.9"/>
    <s v="NYCT PAYGO"/>
    <x v="4"/>
    <x v="3"/>
  </r>
  <r>
    <s v="statement_2026_07.csv"/>
    <d v="2026-07-25T00:00:00"/>
    <d v="2026-07-26T00:00:00"/>
    <s v="NYCT PAYGO              NEW YORK"/>
    <n v="2.9"/>
    <s v="NYCT PAYGO"/>
    <x v="4"/>
    <x v="3"/>
  </r>
  <r>
    <s v="statement_2026_07.csv"/>
    <d v="2026-07-24T00:00:00"/>
    <d v="2026-07-25T00:00:00"/>
    <s v="CITY OF VAN PAYBYPHONE  VANCOUVER"/>
    <n v="2.33"/>
    <s v="CITY OF VAN PAYBYPHONE"/>
    <x v="4"/>
    <x v="6"/>
  </r>
  <r>
    <s v="statement_2026_07.csv"/>
    <d v="2026-07-24T00:00:00"/>
    <d v="2026-07-24T00:00:00"/>
    <s v="UBER TRIP               VANCOUVER"/>
    <n v="19.5"/>
    <s v="UBER TRIP"/>
    <x v="4"/>
    <x v="3"/>
  </r>
  <r>
    <s v="statement_2026_07.csv"/>
    <d v="2026-07-24T00:00:00"/>
    <d v="2026-07-24T00:00:00"/>
    <s v="KATZ'S DELICATESSEN     NEW YORK"/>
    <n v="48.6"/>
    <s v="KATZ'S DELICATESSEN"/>
    <x v="4"/>
    <x v="1"/>
  </r>
  <r>
    <s v="statement_2026_07.csv"/>
    <d v="2026-07-23T00:00:00"/>
    <d v="2026-07-23T00:00:00"/>
    <s v="NYCT PAYGO              NEW YORK"/>
    <n v="2.9"/>
    <s v="NYCT PAYGO"/>
    <x v="4"/>
    <x v="3"/>
  </r>
  <r>
    <s v="statement_2026_07.csv"/>
    <d v="2026-07-22T00:00:00"/>
    <d v="2026-07-22T00:00:00"/>
    <s v="TEXAS SMOKE BBQ         VANCOUVER"/>
    <n v="59.2"/>
    <s v="TEXAS SMOKE BBQ"/>
    <x v="4"/>
    <x v="1"/>
  </r>
  <r>
    <s v="statement_2026_07.csv"/>
    <d v="2026-07-21T00:00:00"/>
    <d v="2026-07-21T00:00:00"/>
    <s v="CITY OF VAN PAYBYPHONE  VANCOUVER"/>
    <n v="7.37"/>
    <s v="CITY OF VAN PAYBYPHONE"/>
    <x v="4"/>
    <x v="6"/>
  </r>
  <r>
    <s v="statement_2026_07.csv"/>
    <d v="2026-07-21T00:00:00"/>
    <d v="2026-07-21T00:00:00"/>
    <s v="IKEA RICHMOND           RICHMOND"/>
    <n v="48.55"/>
    <s v="IKEA RICHMOND"/>
    <x v="4"/>
    <x v="15"/>
  </r>
  <r>
    <s v="statement_2026_07.csv"/>
    <d v="2026-07-21T00:00:00"/>
    <d v="2026-07-23T00:00:00"/>
    <s v="MEMBERSHIP FEE INSTALLMENT"/>
    <n v="15.99"/>
    <s v="MEMBERSHIP FEE INSTALLMENT"/>
    <x v="4"/>
    <x v="9"/>
  </r>
  <r>
    <s v="statement_2026_07.csv"/>
    <d v="2026-07-20T00:00:00"/>
    <d v="2026-07-22T00:00:00"/>
    <s v="CHICK-FIL-A #04418      TORONTO"/>
    <n v="12.96"/>
    <s v="CHICK-FIL-A #04418"/>
    <x v="4"/>
    <x v="1"/>
  </r>
  <r>
    <s v="statement_2026_07.csv"/>
    <d v="2026-07-20T00:00:00"/>
    <d v="2026-07-20T00:00:00"/>
    <s v="SHOPPERS DRUG MART #22  VANCOUVER"/>
    <n v="32.200000000000003"/>
    <s v="SHOPPERS DRUG MART #22"/>
    <x v="4"/>
    <x v="7"/>
  </r>
  <r>
    <s v="statement_2026_07.csv"/>
    <d v="2026-07-20T00:00:00"/>
    <d v="2026-07-20T00:00:00"/>
    <s v="ANTHROPIC* CLAUDE SUB   SAN FRANCISCO"/>
    <n v="28"/>
    <s v="ANTHROPIC* CLAUDE SUB"/>
    <x v="4"/>
    <x v="10"/>
  </r>
  <r>
    <s v="statement_2026_07.csv"/>
    <d v="2026-07-20T00:00:00"/>
    <d v="2026-07-21T00:00:00"/>
    <s v="NYCT PAYGO              NEW YORK"/>
    <n v="2.9"/>
    <s v="NYCT PAYGO"/>
    <x v="4"/>
    <x v="3"/>
  </r>
  <r>
    <s v="statement_2026_07.csv"/>
    <d v="2026-07-19T00:00:00"/>
    <d v="2026-07-19T00:00:00"/>
    <s v="SHELL EASYPAY C10093    VANCOUVER"/>
    <n v="44.94"/>
    <s v="SHELL EASYPAY C10093"/>
    <x v="4"/>
    <x v="5"/>
  </r>
  <r>
    <s v="statement_2026_07.csv"/>
    <d v="2026-07-18T00:00:00"/>
    <d v="2026-07-19T00:00:00"/>
    <s v="KAMO BAKERY             VANCOUVER"/>
    <n v="16.05"/>
    <s v="KAMO BAKERY"/>
    <x v="4"/>
    <x v="0"/>
  </r>
  <r>
    <s v="statement_2026_07.csv"/>
    <d v="2026-07-18T00:00:00"/>
    <d v="2026-07-20T00:00:00"/>
    <s v="SHOPPERS DRUG MART #22  VANCOUVER"/>
    <n v="27.53"/>
    <s v="SHOPPERS DRUG MART #22"/>
    <x v="4"/>
    <x v="7"/>
  </r>
  <r>
    <s v="statement_2026_07.csv"/>
    <d v="2026-07-15T00:00:00"/>
    <d v="2026-07-16T00:00:00"/>
    <s v="H-MART CANADA - 004     COQUITLAM"/>
    <n v="41.56"/>
    <s v="H-MART CANADA - 004"/>
    <x v="4"/>
    <x v="4"/>
  </r>
  <r>
    <s v="statement_2026_07.csv"/>
    <d v="2026-07-15T00:00:00"/>
    <d v="2026-07-16T00:00:00"/>
    <s v="SAFEWAY #4921           VANCOUVER"/>
    <n v="75.97"/>
    <s v="SAFEWAY #4921"/>
    <x v="4"/>
    <x v="4"/>
  </r>
  <r>
    <s v="statement_2026_07.csv"/>
    <d v="2026-07-14T00:00:00"/>
    <d v="2026-07-14T00:00:00"/>
    <s v="WHOLE FOODS MARKET      BURNABY"/>
    <n v="42.07"/>
    <s v="WHOLE FOODS MARKET"/>
    <x v="4"/>
    <x v="4"/>
  </r>
  <r>
    <s v="statement_2026_07.csv"/>
    <d v="2026-07-14T00:00:00"/>
    <d v="2026-07-14T00:00:00"/>
    <s v="IMPARK00120045U         VANCOUVER"/>
    <n v="10.06"/>
    <s v="IMPARK00120045U"/>
    <x v="4"/>
    <x v="6"/>
  </r>
  <r>
    <s v="statement_2026_07.csv"/>
    <d v="2026-07-14T00:00:00"/>
    <d v="2026-07-15T00:00:00"/>
    <s v="EVO CAR SHARE           BURNABY"/>
    <n v="20.89"/>
    <s v="EVO CAR SHARE"/>
    <x v="4"/>
    <x v="8"/>
  </r>
  <r>
    <s v="statement_2026_07.csv"/>
    <d v="2026-07-14T00:00:00"/>
    <d v="2026-07-16T00:00:00"/>
    <s v="BCAA-INSURANCE          BURNABY"/>
    <n v="79.22"/>
    <s v="BCAA-INSURANCE"/>
    <x v="4"/>
    <x v="14"/>
  </r>
  <r>
    <s v="statement_2026_07.csv"/>
    <d v="2026-07-11T00:00:00"/>
    <d v="2026-07-12T00:00:00"/>
    <s v="NORTHSHORE COFFEE CO    VANCOUVER"/>
    <n v="6.35"/>
    <s v="NORTHSHORE COFFEE CO"/>
    <x v="4"/>
    <x v="0"/>
  </r>
  <r>
    <s v="statement_2026_07.csv"/>
    <d v="2026-07-11T00:00:00"/>
    <d v="2026-07-13T00:00:00"/>
    <s v="CHICK-FIL-A #04418      TORONTO"/>
    <n v="22.81"/>
    <s v="CHICK-FIL-A #04418"/>
    <x v="4"/>
    <x v="1"/>
  </r>
  <r>
    <s v="statement_2026_07.csv"/>
    <d v="2026-07-10T00:00:00"/>
    <d v="2026-07-10T00:00:00"/>
    <s v="STARBUCKS STORE 5512    VANCOUVER"/>
    <n v="11.27"/>
    <s v="STARBUCKS STORE 5512"/>
    <x v="4"/>
    <x v="0"/>
  </r>
  <r>
    <s v="statement_2026_07.csv"/>
    <d v="2026-07-10T00:00:00"/>
    <d v="2026-07-12T00:00:00"/>
    <s v="SHELL EASYPAY C10093    VANCOUVER"/>
    <n v="78.77"/>
    <s v="SHELL EASYPAY C10093"/>
    <x v="4"/>
    <x v="5"/>
  </r>
  <r>
    <s v="statement_2026_07.csv"/>
    <d v="2026-07-09T00:00:00"/>
    <d v="2026-07-09T00:00:00"/>
    <s v="SHELL EASYPAY C10093    VANCOUVER"/>
    <n v="50.95"/>
    <s v="SHELL EASYPAY C10093"/>
    <x v="4"/>
    <x v="5"/>
  </r>
  <r>
    <s v="statement_2026_07.csv"/>
    <d v="2026-07-08T00:00:00"/>
    <d v="2026-07-09T00:00:00"/>
    <s v="SAFEWAY #4921           VANCOUVER"/>
    <n v="24.28"/>
    <s v="SAFEWAY #4921"/>
    <x v="4"/>
    <x v="4"/>
  </r>
  <r>
    <s v="statement_2026_07.csv"/>
    <d v="2026-07-08T00:00:00"/>
    <d v="2026-07-08T00:00:00"/>
    <s v="STARBUCKS STORE 5512    VANCOUVER"/>
    <n v="11.47"/>
    <s v="STARBUCKS STORE 5512"/>
    <x v="4"/>
    <x v="0"/>
  </r>
  <r>
    <s v="statement_2026_07.csv"/>
    <d v="2026-07-07T00:00:00"/>
    <d v="2026-07-07T00:00:00"/>
    <s v="UBER TRIP               VANCOUVER"/>
    <n v="9.3800000000000008"/>
    <s v="UBER TRIP"/>
    <x v="4"/>
    <x v="3"/>
  </r>
  <r>
    <s v="statement_2026_07.csv"/>
    <d v="2026-07-07T00:00:00"/>
    <d v="2026-07-08T00:00:00"/>
    <s v="RONA+ GRANDVIEW 83704 R VANCOUVER"/>
    <n v="52.84"/>
    <s v="RONA+ GRANDVIEW 83704 R VANCOUVER"/>
    <x v="4"/>
    <x v="15"/>
  </r>
  <r>
    <s v="statement_2026_07.csv"/>
    <d v="2026-07-06T00:00:00"/>
    <d v="2026-07-07T00:00:00"/>
    <s v="H-MART CANADA - 004     COQUITLAM"/>
    <n v="41.35"/>
    <s v="H-MART CANADA - 004"/>
    <x v="4"/>
    <x v="4"/>
  </r>
  <r>
    <s v="statement_2026_07.csv"/>
    <d v="2026-07-06T00:00:00"/>
    <d v="2026-07-08T00:00:00"/>
    <s v="HARBOUR FLORIST         VANCOUVER"/>
    <n v="51.81"/>
    <s v="HARBOUR FLORIST"/>
    <x v="4"/>
    <x v="13"/>
  </r>
  <r>
    <s v="statement_2026_07.csv"/>
    <d v="2026-07-05T00:00:00"/>
    <d v="2026-07-06T00:00:00"/>
    <s v="MODO CO OPERATIVE       VANCOUVER"/>
    <n v="10.52"/>
    <s v="MODO CO OPERATIVE"/>
    <x v="4"/>
    <x v="8"/>
  </r>
  <r>
    <s v="statement_2026_07.csv"/>
    <d v="2026-07-04T00:00:00"/>
    <d v="2026-07-04T00:00:00"/>
    <s v="WHOLE FOODS MARKET      BURNABY"/>
    <n v="68.66"/>
    <s v="WHOLE FOODS MARKET"/>
    <x v="4"/>
    <x v="4"/>
  </r>
  <r>
    <s v="statement_2026_07.csv"/>
    <d v="2026-07-04T00:00:00"/>
    <d v="2026-07-04T00:00:00"/>
    <s v="NORTHSHORE COFFEE CO    VANCOUVER"/>
    <n v="7.74"/>
    <s v="NORTHSHORE COFFEE CO"/>
    <x v="4"/>
    <x v="0"/>
  </r>
  <r>
    <s v="statement_2026_07.csv"/>
    <d v="2026-07-04T00:00:00"/>
    <d v="2026-07-05T00:00:00"/>
    <s v="MAPLE HAIR STUDIO       VANCOUVER"/>
    <n v="43.85"/>
    <s v="MAPLE HAIR STUDIO"/>
    <x v="4"/>
    <x v="7"/>
  </r>
  <r>
    <s v="statement_2026_07.csv"/>
    <d v="2026-07-03T00:00:00"/>
    <d v="2026-07-04T00:00:00"/>
    <s v="NORTHSHORE COFFEE CO    VANCOUVER"/>
    <n v="4.21"/>
    <s v="NORTHSHORE COFFEE CO"/>
    <x v="4"/>
    <x v="0"/>
  </r>
  <r>
    <s v="statement_2026_07.csv"/>
    <d v="2026-07-03T00:00:00"/>
    <d v="2026-07-03T00:00:00"/>
    <s v="CITY OF VAN PAYBYPHONE  VANCOUVER"/>
    <n v="8.5500000000000007"/>
    <s v="CITY OF VAN PAYBYPHONE"/>
    <x v="4"/>
    <x v="6"/>
  </r>
  <r>
    <s v="statement_2026_07.csv"/>
    <d v="2026-07-02T00:00:00"/>
    <d v="2026-07-02T00:00:00"/>
    <s v="KAMO BAKERY             VANCOUVER"/>
    <n v="16.309999999999999"/>
    <s v="KAMO BAKERY"/>
    <x v="4"/>
    <x v="0"/>
  </r>
  <r>
    <s v="statement_2026_07.csv"/>
    <d v="2026-07-01T00:00:00"/>
    <d v="2026-07-03T00:00:00"/>
    <s v="CINEPLEX #8030 WEB QP   VANCOUVER"/>
    <n v="15.09"/>
    <s v="CINEPLEX #8030 WEB QP"/>
    <x v="4"/>
    <x v="12"/>
  </r>
  <r>
    <s v="statement_2026_07.csv"/>
    <d v="2026-07-01T00:00:00"/>
    <d v="2026-07-02T00:00:00"/>
    <s v="LUMEN BOOKSHOP          VANCOUVER"/>
    <n v="32.08"/>
    <s v="LUMEN BOOKSHOP"/>
    <x v="4"/>
    <x v="13"/>
  </r>
  <r>
    <s v="statement_2026_08.csv"/>
    <d v="2026-08-30T00:00:00"/>
    <d v="2026-08-30T00:00:00"/>
    <s v="H-MART CANADA - 004     COQUITLAM"/>
    <n v="29.68"/>
    <s v="H-MART CANADA - 004"/>
    <x v="5"/>
    <x v="4"/>
  </r>
  <r>
    <s v="statement_2026_08.csv"/>
    <d v="2026-08-28T00:00:00"/>
    <d v="2026-08-29T00:00:00"/>
    <s v="SHOPPERS DRUG MART #22  VANCOUVER"/>
    <n v="22.31"/>
    <s v="SHOPPERS DRUG MART #22"/>
    <x v="5"/>
    <x v="7"/>
  </r>
  <r>
    <s v="statement_2026_08.csv"/>
    <d v="2026-08-28T00:00:00"/>
    <d v="2026-08-29T00:00:00"/>
    <s v="PIXELWORKS STUDIO       TORONTO"/>
    <n v="30.25"/>
    <s v="PIXELWORKS STUDIO"/>
    <x v="5"/>
    <x v="13"/>
  </r>
  <r>
    <s v="statement_2026_08.csv"/>
    <d v="2026-08-27T00:00:00"/>
    <d v="2026-08-28T00:00:00"/>
    <s v="H-MART CANADA - 004     COQUITLAM"/>
    <n v="26.38"/>
    <s v="H-MART CANADA - 004"/>
    <x v="5"/>
    <x v="4"/>
  </r>
  <r>
    <s v="statement_2026_08.csv"/>
    <d v="2026-08-27T00:00:00"/>
    <d v="2026-08-27T00:00:00"/>
    <s v="RONA+ GRANDVIEW 83704 R VANCOUVER"/>
    <n v="49.82"/>
    <s v="RONA+ GRANDVIEW 83704 R VANCOUVER"/>
    <x v="5"/>
    <x v="15"/>
  </r>
  <r>
    <s v="statement_2026_08.csv"/>
    <d v="2026-08-26T00:00:00"/>
    <d v="2026-08-26T00:00:00"/>
    <s v="SAFEWAY #4921           VANCOUVER"/>
    <n v="60.59"/>
    <s v="SAFEWAY #4921"/>
    <x v="5"/>
    <x v="4"/>
  </r>
  <r>
    <s v="statement_2026_08.csv"/>
    <d v="2026-08-26T00:00:00"/>
    <d v="2026-08-27T00:00:00"/>
    <s v="KAMO BAKERY             VANCOUVER"/>
    <n v="14.84"/>
    <s v="KAMO BAKERY"/>
    <x v="5"/>
    <x v="0"/>
  </r>
  <r>
    <s v="statement_2026_08.csv"/>
    <d v="2026-08-25T00:00:00"/>
    <d v="2026-08-25T00:00:00"/>
    <s v="PETRO-CANADA 91215      VANCOUVER"/>
    <n v="64.7"/>
    <s v="PETRO-CANADA 91215"/>
    <x v="5"/>
    <x v="5"/>
  </r>
  <r>
    <s v="statement_2026_08.csv"/>
    <d v="2026-08-25T00:00:00"/>
    <d v="2026-08-25T00:00:00"/>
    <s v="CITY OF VAN PAYBYPHONE  VANCOUVER"/>
    <n v="4.78"/>
    <s v="CITY OF VAN PAYBYPHONE"/>
    <x v="5"/>
    <x v="6"/>
  </r>
  <r>
    <s v="statement_2026_08.csv"/>
    <d v="2026-08-25T00:00:00"/>
    <d v="2026-08-26T00:00:00"/>
    <s v="UBER TRIP               VANCOUVER"/>
    <n v="19.53"/>
    <s v="UBER TRIP"/>
    <x v="5"/>
    <x v="3"/>
  </r>
  <r>
    <s v="statement_2026_08.csv"/>
    <d v="2026-08-25T00:00:00"/>
    <d v="2026-08-26T00:00:00"/>
    <s v="SHOPPERS DRUG MART #22  VANCOUVER"/>
    <n v="27.81"/>
    <s v="SHOPPERS DRUG MART #22"/>
    <x v="5"/>
    <x v="7"/>
  </r>
  <r>
    <s v="statement_2026_08.csv"/>
    <d v="2026-08-24T00:00:00"/>
    <d v="2026-08-26T00:00:00"/>
    <s v="SAFEWAY #4921           VANCOUVER"/>
    <n v="25.82"/>
    <s v="SAFEWAY #4921"/>
    <x v="5"/>
    <x v="4"/>
  </r>
  <r>
    <s v="statement_2026_08.csv"/>
    <d v="2026-08-23T00:00:00"/>
    <d v="2026-08-23T00:00:00"/>
    <s v="PETRO-CANADA 91215      VANCOUVER"/>
    <n v="69.39"/>
    <s v="PETRO-CANADA 91215"/>
    <x v="5"/>
    <x v="5"/>
  </r>
  <r>
    <s v="statement_2026_08.csv"/>
    <d v="2026-08-23T00:00:00"/>
    <d v="2026-08-23T00:00:00"/>
    <s v="UBER TRIP               VANCOUVER"/>
    <n v="11.42"/>
    <s v="UBER TRIP"/>
    <x v="5"/>
    <x v="3"/>
  </r>
  <r>
    <s v="statement_2026_08.csv"/>
    <d v="2026-08-22T00:00:00"/>
    <d v="2026-08-23T00:00:00"/>
    <s v="CITY OF VAN PAYBYPHONE  VANCOUVER"/>
    <n v="8.6999999999999993"/>
    <s v="CITY OF VAN PAYBYPHONE"/>
    <x v="5"/>
    <x v="6"/>
  </r>
  <r>
    <s v="statement_2026_08.csv"/>
    <d v="2026-08-21T00:00:00"/>
    <d v="2026-08-22T00:00:00"/>
    <s v="H-MART CANADA - 004     COQUITLAM"/>
    <n v="41.85"/>
    <s v="H-MART CANADA - 004"/>
    <x v="5"/>
    <x v="4"/>
  </r>
  <r>
    <s v="statement_2026_08.csv"/>
    <d v="2026-08-21T00:00:00"/>
    <d v="2026-08-23T00:00:00"/>
    <s v="STARBUCKS STORE 5512    VANCOUVER"/>
    <n v="6"/>
    <s v="STARBUCKS STORE 5512"/>
    <x v="5"/>
    <x v="0"/>
  </r>
  <r>
    <s v="statement_2026_08.csv"/>
    <d v="2026-08-21T00:00:00"/>
    <d v="2026-08-21T00:00:00"/>
    <s v="MEMBERSHIP FEE INSTALLMENT"/>
    <n v="15.99"/>
    <s v="MEMBERSHIP FEE INSTALLMENT"/>
    <x v="5"/>
    <x v="9"/>
  </r>
  <r>
    <s v="statement_2026_08.csv"/>
    <d v="2026-08-20T00:00:00"/>
    <d v="2026-08-20T00:00:00"/>
    <s v="CHICK-FIL-A #04418      TORONTO"/>
    <n v="16.41"/>
    <s v="CHICK-FIL-A #04418"/>
    <x v="5"/>
    <x v="1"/>
  </r>
  <r>
    <s v="statement_2026_08.csv"/>
    <d v="2026-08-20T00:00:00"/>
    <d v="2026-08-21T00:00:00"/>
    <s v="ZARA CANADA 3321        VANCOUVER"/>
    <n v="109.1"/>
    <s v="ZARA CANADA 3321"/>
    <x v="5"/>
    <x v="2"/>
  </r>
  <r>
    <s v="statement_2026_08.csv"/>
    <d v="2026-08-20T00:00:00"/>
    <d v="2026-08-22T00:00:00"/>
    <s v="ANTHROPIC* CLAUDE SUB   SAN FRANCISCO"/>
    <n v="28"/>
    <s v="ANTHROPIC* CLAUDE SUB"/>
    <x v="5"/>
    <x v="10"/>
  </r>
  <r>
    <s v="statement_2026_08.csv"/>
    <d v="2026-08-19T00:00:00"/>
    <d v="2026-08-20T00:00:00"/>
    <s v="WALMART STORE 3120      RICHMOND"/>
    <n v="67.72"/>
    <s v="WALMART STORE 3120"/>
    <x v="5"/>
    <x v="4"/>
  </r>
  <r>
    <s v="statement_2026_08.csv"/>
    <d v="2026-08-19T00:00:00"/>
    <d v="2026-08-19T00:00:00"/>
    <s v="RONA+ GRANDVIEW 83704 R VANCOUVER"/>
    <n v="48.32"/>
    <s v="RONA+ GRANDVIEW 83704 R VANCOUVER"/>
    <x v="5"/>
    <x v="15"/>
  </r>
  <r>
    <s v="statement_2026_08.csv"/>
    <d v="2026-08-16T00:00:00"/>
    <d v="2026-08-16T00:00:00"/>
    <s v="BURNABY MOUNTAIN GOLF 7 BURNABY"/>
    <n v="43.49"/>
    <s v="BURNABY MOUNTAIN GOLF 7 BURNABY"/>
    <x v="5"/>
    <x v="11"/>
  </r>
  <r>
    <s v="statement_2026_08.csv"/>
    <d v="2026-08-15T00:00:00"/>
    <d v="2026-08-16T00:00:00"/>
    <s v="H-MART CANADA - 004     COQUITLAM"/>
    <n v="86.36"/>
    <s v="H-MART CANADA - 004"/>
    <x v="5"/>
    <x v="4"/>
  </r>
  <r>
    <s v="statement_2026_08.csv"/>
    <d v="2026-08-15T00:00:00"/>
    <d v="2026-08-17T00:00:00"/>
    <s v="SHELL EASYPAY C10093    VANCOUVER"/>
    <n v="70.39"/>
    <s v="SHELL EASYPAY C10093"/>
    <x v="5"/>
    <x v="5"/>
  </r>
  <r>
    <s v="statement_2026_08.csv"/>
    <d v="2026-08-15T00:00:00"/>
    <d v="2026-08-15T00:00:00"/>
    <s v="HARBOUR FLORIST         VANCOUVER"/>
    <n v="39.53"/>
    <s v="HARBOUR FLORIST"/>
    <x v="5"/>
    <x v="13"/>
  </r>
  <r>
    <s v="statement_2026_08.csv"/>
    <d v="2026-08-14T00:00:00"/>
    <d v="2026-08-14T00:00:00"/>
    <s v="HANNAM SUPERMARKET BUR  BURNABY"/>
    <n v="66.86"/>
    <s v="HANNAM SUPERMARKET BUR"/>
    <x v="5"/>
    <x v="4"/>
  </r>
  <r>
    <s v="statement_2026_08.csv"/>
    <d v="2026-08-14T00:00:00"/>
    <d v="2026-08-15T00:00:00"/>
    <s v="BCAA-INSURANCE          BURNABY"/>
    <n v="79.22"/>
    <s v="BCAA-INSURANCE"/>
    <x v="5"/>
    <x v="14"/>
  </r>
  <r>
    <s v="statement_2026_08.csv"/>
    <d v="2026-08-13T00:00:00"/>
    <d v="2026-08-14T00:00:00"/>
    <s v="EVO CAR SHARE           BURNABY"/>
    <n v="20.48"/>
    <s v="EVO CAR SHARE"/>
    <x v="5"/>
    <x v="8"/>
  </r>
  <r>
    <s v="statement_2026_08.csv"/>
    <d v="2026-08-12T00:00:00"/>
    <d v="2026-08-12T00:00:00"/>
    <s v="STARBUCKS STORE 5512    VANCOUVER"/>
    <n v="6.42"/>
    <s v="STARBUCKS STORE 5512"/>
    <x v="5"/>
    <x v="0"/>
  </r>
  <r>
    <s v="statement_2026_08.csv"/>
    <d v="2026-08-12T00:00:00"/>
    <d v="2026-08-12T00:00:00"/>
    <s v="NORTHSHORE COFFEE CO    VANCOUVER"/>
    <n v="8.66"/>
    <s v="NORTHSHORE COFFEE CO"/>
    <x v="5"/>
    <x v="0"/>
  </r>
  <r>
    <s v="statement_2026_08.csv"/>
    <d v="2026-08-12T00:00:00"/>
    <d v="2026-08-14T00:00:00"/>
    <s v="VIET HOUSE 001          VANCOUVER"/>
    <n v="39.450000000000003"/>
    <s v="VIET HOUSE 001"/>
    <x v="5"/>
    <x v="1"/>
  </r>
  <r>
    <s v="statement_2026_08.csv"/>
    <d v="2026-08-11T00:00:00"/>
    <d v="2026-08-12T00:00:00"/>
    <s v="IMPARK00120045U         VANCOUVER"/>
    <n v="8.06"/>
    <s v="IMPARK00120045U"/>
    <x v="5"/>
    <x v="6"/>
  </r>
  <r>
    <s v="statement_2026_08.csv"/>
    <d v="2026-08-09T00:00:00"/>
    <d v="2026-08-09T00:00:00"/>
    <s v="WHOLE FOODS MARKET      BURNABY"/>
    <n v="52.16"/>
    <s v="WHOLE FOODS MARKET"/>
    <x v="5"/>
    <x v="4"/>
  </r>
  <r>
    <s v="statement_2026_08.csv"/>
    <d v="2026-08-09T00:00:00"/>
    <d v="2026-08-10T00:00:00"/>
    <s v="MODO CO OPERATIVE       VANCOUVER"/>
    <n v="14.78"/>
    <s v="MODO CO OPERATIVE"/>
    <x v="5"/>
    <x v="8"/>
  </r>
  <r>
    <s v="statement_2026_08.csv"/>
    <d v="2026-08-09T00:00:00"/>
    <d v="2026-08-09T00:00:00"/>
    <s v="IKEA RICHMOND           RICHMOND"/>
    <n v="119.7"/>
    <s v="IKEA RICHMOND"/>
    <x v="5"/>
    <x v="15"/>
  </r>
  <r>
    <s v="statement_2026_08.csv"/>
    <d v="2026-08-08T00:00:00"/>
    <d v="2026-08-09T00:00:00"/>
    <s v="STARBUCKS STORE 5512    VANCOUVER"/>
    <n v="7.6"/>
    <s v="STARBUCKS STORE 5512"/>
    <x v="5"/>
    <x v="0"/>
  </r>
  <r>
    <s v="statement_2026_08.csv"/>
    <d v="2026-08-07T00:00:00"/>
    <d v="2026-08-09T00:00:00"/>
    <s v="NORTHSHORE COFFEE CO    VANCOUVER"/>
    <n v="6.29"/>
    <s v="NORTHSHORE COFFEE CO"/>
    <x v="5"/>
    <x v="0"/>
  </r>
  <r>
    <s v="statement_2026_08.csv"/>
    <d v="2026-08-05T00:00:00"/>
    <d v="2026-08-06T00:00:00"/>
    <s v="NORTHSHORE COFFEE CO    VANCOUVER"/>
    <n v="8.5"/>
    <s v="NORTHSHORE COFFEE CO"/>
    <x v="5"/>
    <x v="0"/>
  </r>
  <r>
    <s v="statement_2026_08.csv"/>
    <d v="2026-08-05T00:00:00"/>
    <d v="2026-08-05T00:00:00"/>
    <s v="CHICK-FIL-A #04418      TORONTO"/>
    <n v="17.63"/>
    <s v="CHICK-FIL-A #04418"/>
    <x v="5"/>
    <x v="1"/>
  </r>
  <r>
    <s v="statement_2026_08.csv"/>
    <d v="2026-08-04T00:00:00"/>
    <d v="2026-08-06T00:00:00"/>
    <s v="CITY OF VAN PAYBYPHONE  VANCOUVER"/>
    <n v="6.53"/>
    <s v="CITY OF VAN PAYBYPHONE"/>
    <x v="5"/>
    <x v="6"/>
  </r>
  <r>
    <s v="statement_2026_08.csv"/>
    <d v="2026-08-04T00:00:00"/>
    <d v="2026-08-04T00:00:00"/>
    <s v="ZARA CANADA 3321        VANCOUVER"/>
    <n v="67.66"/>
    <s v="ZARA CANADA 3321"/>
    <x v="5"/>
    <x v="2"/>
  </r>
  <r>
    <s v="statement_2026_08.csv"/>
    <d v="2026-08-03T00:00:00"/>
    <d v="2026-08-04T00:00:00"/>
    <s v="PETRO-CANADA 91215      VANCOUVER"/>
    <n v="74.19"/>
    <s v="PETRO-CANADA 91215"/>
    <x v="5"/>
    <x v="5"/>
  </r>
  <r>
    <s v="statement_2026_08.csv"/>
    <d v="2026-08-01T00:00:00"/>
    <d v="2026-08-02T00:00:00"/>
    <s v="WHOLE FOODS MARKET      BURNABY"/>
    <n v="44.14"/>
    <s v="WHOLE FOODS MARKET"/>
    <x v="5"/>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7DB4D6-E83C-4E30-8B47-DAECE2552B1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5:B42" firstHeaderRow="1" firstDataRow="1" firstDataCol="1" rowPageCount="1" colPageCount="1"/>
  <pivotFields count="10">
    <pivotField showAll="0"/>
    <pivotField numFmtId="14" showAll="0"/>
    <pivotField numFmtId="14" showAll="0"/>
    <pivotField showAll="0"/>
    <pivotField dataField="1" showAll="0"/>
    <pivotField showAll="0"/>
    <pivotField axis="axisRow" numFmtId="14" showAll="0">
      <items count="7">
        <item x="0"/>
        <item x="1"/>
        <item x="2"/>
        <item x="3"/>
        <item x="4"/>
        <item x="5"/>
        <item t="default"/>
      </items>
    </pivotField>
    <pivotField axis="axisPage" multipleItemSelectionAllowed="1" showAll="0">
      <items count="26">
        <item x="0"/>
        <item m="1" x="21"/>
        <item x="8"/>
        <item x="1"/>
        <item m="1" x="19"/>
        <item x="12"/>
        <item x="9"/>
        <item x="5"/>
        <item x="4"/>
        <item m="1" x="17"/>
        <item x="11"/>
        <item x="15"/>
        <item x="14"/>
        <item x="16"/>
        <item x="6"/>
        <item m="1" x="24"/>
        <item x="7"/>
        <item m="1" x="20"/>
        <item x="2"/>
        <item x="10"/>
        <item x="3"/>
        <item m="1" x="18"/>
        <item x="13"/>
        <item m="1" x="22"/>
        <item m="1" x="23"/>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9"/>
    <field x="8"/>
    <field x="6"/>
  </rowFields>
  <rowItems count="7">
    <i>
      <x v="3"/>
    </i>
    <i>
      <x v="4"/>
    </i>
    <i>
      <x v="5"/>
    </i>
    <i>
      <x v="6"/>
    </i>
    <i>
      <x v="7"/>
    </i>
    <i>
      <x v="8"/>
    </i>
    <i t="grand">
      <x/>
    </i>
  </rowItems>
  <colItems count="1">
    <i/>
  </colItems>
  <pageFields count="1">
    <pageField fld="7" hier="-1"/>
  </pageFields>
  <dataFields count="1">
    <dataField name="Sum of Amount"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C14786-E93E-4225-9DDE-D257730BB04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21" firstHeaderRow="1" firstDataRow="1" firstDataCol="1"/>
  <pivotFields count="10">
    <pivotField showAll="0"/>
    <pivotField numFmtId="14" showAll="0"/>
    <pivotField numFmtId="14" showAll="0"/>
    <pivotField showAll="0"/>
    <pivotField dataField="1" showAll="0"/>
    <pivotField showAll="0"/>
    <pivotField numFmtId="14" showAll="0">
      <items count="7">
        <item x="0"/>
        <item x="1"/>
        <item x="2"/>
        <item x="3"/>
        <item x="4"/>
        <item x="5"/>
        <item t="default"/>
      </items>
    </pivotField>
    <pivotField axis="axisRow" showAll="0" sortType="descending">
      <items count="26">
        <item x="0"/>
        <item m="1" x="21"/>
        <item x="8"/>
        <item x="1"/>
        <item m="1" x="19"/>
        <item x="12"/>
        <item x="9"/>
        <item x="5"/>
        <item x="4"/>
        <item m="1" x="17"/>
        <item x="11"/>
        <item x="15"/>
        <item x="14"/>
        <item x="16"/>
        <item x="6"/>
        <item m="1" x="24"/>
        <item x="7"/>
        <item m="1" x="20"/>
        <item x="2"/>
        <item x="10"/>
        <item x="3"/>
        <item m="1" x="18"/>
        <item x="13"/>
        <item m="1" x="22"/>
        <item m="1" x="23"/>
        <item t="default"/>
      </items>
      <autoSortScope>
        <pivotArea dataOnly="0" outline="0" fieldPosition="0">
          <references count="1">
            <reference field="4294967294" count="1" selected="0">
              <x v="0"/>
            </reference>
          </references>
        </pivotArea>
      </autoSortScope>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8">
    <i>
      <x v="8"/>
    </i>
    <i>
      <x v="7"/>
    </i>
    <i>
      <x v="11"/>
    </i>
    <i>
      <x v="3"/>
    </i>
    <i>
      <x/>
    </i>
    <i>
      <x v="18"/>
    </i>
    <i>
      <x v="12"/>
    </i>
    <i>
      <x v="16"/>
    </i>
    <i>
      <x v="22"/>
    </i>
    <i>
      <x v="20"/>
    </i>
    <i>
      <x v="2"/>
    </i>
    <i>
      <x v="10"/>
    </i>
    <i>
      <x v="14"/>
    </i>
    <i>
      <x v="19"/>
    </i>
    <i>
      <x v="5"/>
    </i>
    <i>
      <x v="6"/>
    </i>
    <i>
      <x v="13"/>
    </i>
    <i t="grand">
      <x/>
    </i>
  </rowItems>
  <colItems count="1">
    <i/>
  </colItems>
  <dataFields count="1">
    <dataField name="Sum of Amount"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E5EF7B2B-F543-431E-9C40-22E3D8609656}" autoFormatId="16" applyNumberFormats="0" applyBorderFormats="0" applyFontFormats="0" applyPatternFormats="0" applyAlignmentFormats="0" applyWidthHeightFormats="0">
  <queryTableRefresh nextId="9" unboundColumnsRight="1">
    <queryTableFields count="8">
      <queryTableField id="1" name="Source.Name" tableColumnId="1"/>
      <queryTableField id="2" name="Date" tableColumnId="2"/>
      <queryTableField id="3" name="Date Processed" tableColumnId="3"/>
      <queryTableField id="4" name="Description" tableColumnId="4"/>
      <queryTableField id="5" name="Amount" tableColumnId="5"/>
      <queryTableField id="7" name="Merchant" tableColumnId="7"/>
      <queryTableField id="8" name="Start of Month" tableColumnId="8"/>
      <queryTableField id="6" dataBound="0"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8F8C2ADD-9E54-405B-903A-08EE1629F170}" autoFormatId="16" applyNumberFormats="0" applyBorderFormats="0" applyFontFormats="0" applyPatternFormats="0" applyAlignmentFormats="0" applyWidthHeightFormats="0">
  <queryTableRefresh nextId="4">
    <queryTableFields count="3">
      <queryTableField id="1" name="Description" tableColumnId="1"/>
      <queryTableField id="2" name="Count" tableColumnId="2"/>
      <queryTableField id="3" name="Total "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ized" xr10:uid="{D3FEFCE1-677B-440F-BFC1-19776D1D7DC1}" sourceName="Categorized">
  <pivotTables>
    <pivotTable tabId="7" name="PivotTable1"/>
    <pivotTable tabId="7" name="PivotTable2"/>
  </pivotTables>
  <data>
    <tabular pivotCacheId="697322094">
      <items count="25">
        <i x="0" s="1"/>
        <i x="8" s="1"/>
        <i x="1" s="1"/>
        <i x="12" s="1"/>
        <i x="9" s="1"/>
        <i x="5" s="1"/>
        <i x="4" s="1"/>
        <i x="11" s="1"/>
        <i x="15" s="1"/>
        <i x="14" s="1"/>
        <i x="16" s="1"/>
        <i x="6" s="1"/>
        <i x="7" s="1"/>
        <i x="2" s="1"/>
        <i x="10" s="1"/>
        <i x="3" s="1"/>
        <i x="13" s="1"/>
        <i x="23" s="1" nd="1"/>
        <i x="21" s="1" nd="1"/>
        <i x="19" s="1" nd="1"/>
        <i x="22" s="1" nd="1"/>
        <i x="17" s="1" nd="1"/>
        <i x="24" s="1" nd="1"/>
        <i x="20" s="1" nd="1"/>
        <i x="1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tart_of_Month" xr10:uid="{E7D38C8F-4F26-4E68-815C-2C869B2F4899}" sourceName="Months (Start of Month)">
  <pivotTables>
    <pivotTable tabId="7" name="PivotTable1"/>
    <pivotTable tabId="7" name="PivotTable2"/>
  </pivotTables>
  <data>
    <tabular pivotCacheId="697322094">
      <items count="14">
        <i x="3" s="1"/>
        <i x="4" s="1"/>
        <i x="5" s="1"/>
        <i x="6" s="1"/>
        <i x="7" s="1"/>
        <i x="8" s="1"/>
        <i x="1" s="1" nd="1"/>
        <i x="2"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ized" xr10:uid="{713942E1-2757-4368-9074-D2E407DFC1EF}" cache="Slicer_Categorized" caption="Categorized" startItem="11" rowHeight="257175"/>
  <slicer name="Months (Start of Month)" xr10:uid="{52B54EF1-6F16-4295-9BB9-7E6BA71E8B16}" cache="Slicer_Months__Start_of_Month" caption="Months (Start of Month)" startItem="6"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9F7C92-39F8-4917-A430-E47832686EF8}" name="Tx" displayName="Tx" ref="A1:H305" tableType="queryTable" totalsRowShown="0">
  <autoFilter ref="A1:H305" xr:uid="{BA9F7C92-39F8-4917-A430-E47832686EF8}"/>
  <tableColumns count="8">
    <tableColumn id="1" xr3:uid="{14907077-B2F9-4D49-B0D1-05927310DC85}" uniqueName="1" name="Source.Name" queryTableFieldId="1" dataDxfId="7"/>
    <tableColumn id="2" xr3:uid="{1E00ED84-7ACF-430B-B186-5EA97253AA80}" uniqueName="2" name="Date" queryTableFieldId="2" dataDxfId="6"/>
    <tableColumn id="3" xr3:uid="{047944C7-21CB-4FD1-A138-B75E3504AB44}" uniqueName="3" name="Date Processed" queryTableFieldId="3" dataDxfId="5"/>
    <tableColumn id="4" xr3:uid="{6CB98306-7FE0-4877-88BD-72E12CAF3571}" uniqueName="4" name="Description" queryTableFieldId="4" dataDxfId="4"/>
    <tableColumn id="5" xr3:uid="{93D02955-69BE-4F67-9700-18EE3094CB92}" uniqueName="5" name="Amount" queryTableFieldId="5"/>
    <tableColumn id="7" xr3:uid="{BAB70ABE-84F6-4A9F-BB82-C1026F924A77}" uniqueName="7" name="Merchant" queryTableFieldId="7" dataDxfId="3"/>
    <tableColumn id="8" xr3:uid="{FA5BAE92-EB46-4B0D-ACCD-A65AE559F179}" uniqueName="8" name="Start of Month" queryTableFieldId="8" dataDxfId="2"/>
    <tableColumn id="6" xr3:uid="{31061A65-648D-481B-9BA2-E1708D753F1F}" uniqueName="6" name="Categorized" queryTableFieldId="6" dataDxfId="1">
      <calculatedColumnFormula array="1">Categorize(Tx[[#This Row],[Description]])</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8FB265-15D7-4CDC-B10F-347463871A5D}" name="testing__2" displayName="testing__2" ref="A1:C36" tableType="queryTable" totalsRowShown="0">
  <autoFilter ref="A1:C36" xr:uid="{E08FB265-15D7-4CDC-B10F-347463871A5D}"/>
  <tableColumns count="3">
    <tableColumn id="1" xr3:uid="{FF749250-C5D2-4F12-A581-B545038482D9}" uniqueName="1" name="Description" queryTableFieldId="1" dataDxfId="0"/>
    <tableColumn id="2" xr3:uid="{CD9942C7-8CE9-4953-9EDD-55CA9A66BABA}" uniqueName="2" name="Count" queryTableFieldId="2"/>
    <tableColumn id="3" xr3:uid="{F359ADE4-6117-4DF4-92EC-858F786DA002}" uniqueName="3" name="Total " queryTableField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B6E344-F292-4E80-B277-EF122C2B4EF2}" name="tblMap" displayName="tblMap" ref="A1:B33" totalsRowShown="0">
  <autoFilter ref="A1:B33" xr:uid="{BEB6E344-F292-4E80-B277-EF122C2B4EF2}"/>
  <tableColumns count="2">
    <tableColumn id="1" xr3:uid="{115E3102-D2FD-4DF1-A94A-2C35A98213BF}" name="Keyword"/>
    <tableColumn id="2" xr3:uid="{4D0FC792-A50F-4E34-ACBB-BFF97EA21F4C}" name="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942E2-0F31-466F-921D-5734B6A46567}">
  <dimension ref="A1:H305"/>
  <sheetViews>
    <sheetView topLeftCell="C1" workbookViewId="0">
      <selection activeCell="H2" sqref="H2"/>
    </sheetView>
  </sheetViews>
  <sheetFormatPr defaultRowHeight="15" x14ac:dyDescent="0.25"/>
  <cols>
    <col min="1" max="1" width="21.140625" bestFit="1" customWidth="1"/>
    <col min="2" max="2" width="9.42578125" bestFit="1" customWidth="1"/>
    <col min="3" max="3" width="17.5703125" bestFit="1" customWidth="1"/>
    <col min="4" max="4" width="39.5703125" bestFit="1" customWidth="1"/>
    <col min="5" max="5" width="10.28515625" bestFit="1" customWidth="1"/>
    <col min="6" max="6" width="37.42578125" bestFit="1" customWidth="1"/>
    <col min="7" max="7" width="16.140625" bestFit="1" customWidth="1"/>
    <col min="8" max="8" width="15.7109375" bestFit="1" customWidth="1"/>
  </cols>
  <sheetData>
    <row r="1" spans="1:8" x14ac:dyDescent="0.25">
      <c r="A1" t="s">
        <v>0</v>
      </c>
      <c r="B1" t="s">
        <v>1</v>
      </c>
      <c r="C1" t="s">
        <v>2</v>
      </c>
      <c r="D1" t="s">
        <v>3</v>
      </c>
      <c r="E1" t="s">
        <v>4</v>
      </c>
      <c r="F1" t="s">
        <v>61</v>
      </c>
      <c r="G1" t="s">
        <v>82</v>
      </c>
      <c r="H1" t="s">
        <v>59</v>
      </c>
    </row>
    <row r="2" spans="1:8" x14ac:dyDescent="0.25">
      <c r="A2" t="s">
        <v>113</v>
      </c>
      <c r="B2" s="1">
        <v>46112</v>
      </c>
      <c r="C2" s="1">
        <v>46114</v>
      </c>
      <c r="D2" t="s">
        <v>96</v>
      </c>
      <c r="E2">
        <v>8.1</v>
      </c>
      <c r="F2" t="s">
        <v>114</v>
      </c>
      <c r="G2" s="1">
        <v>46082</v>
      </c>
      <c r="H2" t="str" cm="1">
        <f t="array" ref="H2">Categorize(Tx[[#This Row],[Description]])</f>
        <v>Cafe</v>
      </c>
    </row>
    <row r="3" spans="1:8" x14ac:dyDescent="0.25">
      <c r="A3" t="s">
        <v>113</v>
      </c>
      <c r="B3" s="1">
        <v>46112</v>
      </c>
      <c r="C3" s="1">
        <v>46112</v>
      </c>
      <c r="D3" t="s">
        <v>16</v>
      </c>
      <c r="E3">
        <v>20.13</v>
      </c>
      <c r="F3" t="s">
        <v>72</v>
      </c>
      <c r="G3" s="1">
        <v>46082</v>
      </c>
      <c r="H3" t="str" cm="1">
        <f t="array" ref="H3">Categorize(Tx[[#This Row],[Description]])</f>
        <v>Dining</v>
      </c>
    </row>
    <row r="4" spans="1:8" x14ac:dyDescent="0.25">
      <c r="A4" t="s">
        <v>113</v>
      </c>
      <c r="B4" s="1">
        <v>46112</v>
      </c>
      <c r="C4" s="1">
        <v>46112</v>
      </c>
      <c r="D4" t="s">
        <v>103</v>
      </c>
      <c r="E4">
        <v>59.03</v>
      </c>
      <c r="F4" t="s">
        <v>115</v>
      </c>
      <c r="G4" s="1">
        <v>46082</v>
      </c>
      <c r="H4" t="str" cm="1">
        <f t="array" ref="H4">Categorize(Tx[[#This Row],[Description]])</f>
        <v>Shopping</v>
      </c>
    </row>
    <row r="5" spans="1:8" x14ac:dyDescent="0.25">
      <c r="A5" t="s">
        <v>113</v>
      </c>
      <c r="B5" s="1">
        <v>46111</v>
      </c>
      <c r="C5" s="1">
        <v>46112</v>
      </c>
      <c r="D5" t="s">
        <v>105</v>
      </c>
      <c r="E5">
        <v>40.17</v>
      </c>
      <c r="F5" t="s">
        <v>74</v>
      </c>
      <c r="G5" s="1">
        <v>46082</v>
      </c>
      <c r="H5" t="str" cm="1">
        <f t="array" ref="H5">Categorize(Tx[[#This Row],[Description]])</f>
        <v>Dining</v>
      </c>
    </row>
    <row r="6" spans="1:8" x14ac:dyDescent="0.25">
      <c r="A6" t="s">
        <v>113</v>
      </c>
      <c r="B6" s="1">
        <v>46111</v>
      </c>
      <c r="C6" s="1">
        <v>46113</v>
      </c>
      <c r="D6" t="s">
        <v>97</v>
      </c>
      <c r="E6">
        <v>24.65</v>
      </c>
      <c r="F6" t="s">
        <v>29</v>
      </c>
      <c r="G6" s="1">
        <v>46082</v>
      </c>
      <c r="H6" t="str" cm="1">
        <f t="array" ref="H6">Categorize(Tx[[#This Row],[Description]])</f>
        <v>Transit</v>
      </c>
    </row>
    <row r="7" spans="1:8" x14ac:dyDescent="0.25">
      <c r="A7" t="s">
        <v>113</v>
      </c>
      <c r="B7" s="1">
        <v>46110</v>
      </c>
      <c r="C7" s="1">
        <v>46111</v>
      </c>
      <c r="D7" t="s">
        <v>102</v>
      </c>
      <c r="E7">
        <v>85.09</v>
      </c>
      <c r="F7" t="s">
        <v>116</v>
      </c>
      <c r="G7" s="1">
        <v>46082</v>
      </c>
      <c r="H7" t="str" cm="1">
        <f t="array" ref="H7">Categorize(Tx[[#This Row],[Description]])</f>
        <v>Grocery</v>
      </c>
    </row>
    <row r="8" spans="1:8" x14ac:dyDescent="0.25">
      <c r="A8" t="s">
        <v>113</v>
      </c>
      <c r="B8" s="1">
        <v>46110</v>
      </c>
      <c r="C8" s="1">
        <v>46111</v>
      </c>
      <c r="D8" t="s">
        <v>18</v>
      </c>
      <c r="E8">
        <v>50.5</v>
      </c>
      <c r="F8" t="s">
        <v>76</v>
      </c>
      <c r="G8" s="1">
        <v>46082</v>
      </c>
      <c r="H8" t="str" cm="1">
        <f t="array" ref="H8">Categorize(Tx[[#This Row],[Description]])</f>
        <v>Gas</v>
      </c>
    </row>
    <row r="9" spans="1:8" x14ac:dyDescent="0.25">
      <c r="A9" t="s">
        <v>113</v>
      </c>
      <c r="B9" s="1">
        <v>46109</v>
      </c>
      <c r="C9" s="1">
        <v>46109</v>
      </c>
      <c r="D9" t="s">
        <v>100</v>
      </c>
      <c r="E9">
        <v>20.46</v>
      </c>
      <c r="F9" t="s">
        <v>117</v>
      </c>
      <c r="G9" s="1">
        <v>46082</v>
      </c>
      <c r="H9" t="str" cm="1">
        <f t="array" ref="H9">Categorize(Tx[[#This Row],[Description]])</f>
        <v>Dining</v>
      </c>
    </row>
    <row r="10" spans="1:8" x14ac:dyDescent="0.25">
      <c r="A10" t="s">
        <v>113</v>
      </c>
      <c r="B10" s="1">
        <v>46109</v>
      </c>
      <c r="C10" s="1">
        <v>46111</v>
      </c>
      <c r="D10" t="s">
        <v>18</v>
      </c>
      <c r="E10">
        <v>71.02</v>
      </c>
      <c r="F10" t="s">
        <v>76</v>
      </c>
      <c r="G10" s="1">
        <v>46082</v>
      </c>
      <c r="H10" t="str" cm="1">
        <f t="array" ref="H10">Categorize(Tx[[#This Row],[Description]])</f>
        <v>Gas</v>
      </c>
    </row>
    <row r="11" spans="1:8" x14ac:dyDescent="0.25">
      <c r="A11" t="s">
        <v>113</v>
      </c>
      <c r="B11" s="1">
        <v>46108</v>
      </c>
      <c r="C11" s="1">
        <v>46109</v>
      </c>
      <c r="D11" t="s">
        <v>17</v>
      </c>
      <c r="E11">
        <v>5.04</v>
      </c>
      <c r="F11" t="s">
        <v>73</v>
      </c>
      <c r="G11" s="1">
        <v>46082</v>
      </c>
      <c r="H11" t="str" cm="1">
        <f t="array" ref="H11">Categorize(Tx[[#This Row],[Description]])</f>
        <v>Parking</v>
      </c>
    </row>
    <row r="12" spans="1:8" x14ac:dyDescent="0.25">
      <c r="A12" t="s">
        <v>113</v>
      </c>
      <c r="B12" s="1">
        <v>46107</v>
      </c>
      <c r="C12" s="1">
        <v>46108</v>
      </c>
      <c r="D12" t="s">
        <v>110</v>
      </c>
      <c r="E12">
        <v>64.23</v>
      </c>
      <c r="F12" t="s">
        <v>118</v>
      </c>
      <c r="G12" s="1">
        <v>46082</v>
      </c>
      <c r="H12" t="str" cm="1">
        <f t="array" ref="H12">Categorize(Tx[[#This Row],[Description]])</f>
        <v>Personal Care</v>
      </c>
    </row>
    <row r="13" spans="1:8" x14ac:dyDescent="0.25">
      <c r="A13" t="s">
        <v>113</v>
      </c>
      <c r="B13" s="1">
        <v>46104</v>
      </c>
      <c r="C13" s="1">
        <v>46105</v>
      </c>
      <c r="D13" t="s">
        <v>101</v>
      </c>
      <c r="E13">
        <v>10.39</v>
      </c>
      <c r="F13" t="s">
        <v>119</v>
      </c>
      <c r="G13" s="1">
        <v>46082</v>
      </c>
      <c r="H13" t="str" cm="1">
        <f t="array" ref="H13">Categorize(Tx[[#This Row],[Description]])</f>
        <v>Parking</v>
      </c>
    </row>
    <row r="14" spans="1:8" x14ac:dyDescent="0.25">
      <c r="A14" t="s">
        <v>113</v>
      </c>
      <c r="B14" s="1">
        <v>46103</v>
      </c>
      <c r="C14" s="1">
        <v>46103</v>
      </c>
      <c r="D14" t="s">
        <v>95</v>
      </c>
      <c r="E14">
        <v>32.479999999999997</v>
      </c>
      <c r="F14" t="s">
        <v>120</v>
      </c>
      <c r="G14" s="1">
        <v>46082</v>
      </c>
      <c r="H14" t="str" cm="1">
        <f t="array" ref="H14">Categorize(Tx[[#This Row],[Description]])</f>
        <v>Grocery</v>
      </c>
    </row>
    <row r="15" spans="1:8" x14ac:dyDescent="0.25">
      <c r="A15" t="s">
        <v>113</v>
      </c>
      <c r="B15" s="1">
        <v>46103</v>
      </c>
      <c r="C15" s="1">
        <v>46103</v>
      </c>
      <c r="D15" t="s">
        <v>14</v>
      </c>
      <c r="E15">
        <v>18.68</v>
      </c>
      <c r="F15" t="s">
        <v>69</v>
      </c>
      <c r="G15" s="1">
        <v>46082</v>
      </c>
      <c r="H15" t="str" cm="1">
        <f t="array" ref="H15">Categorize(Tx[[#This Row],[Description]])</f>
        <v>Car Share</v>
      </c>
    </row>
    <row r="16" spans="1:8" x14ac:dyDescent="0.25">
      <c r="A16" t="s">
        <v>113</v>
      </c>
      <c r="B16" s="1">
        <v>46102</v>
      </c>
      <c r="C16" s="1">
        <v>46104</v>
      </c>
      <c r="D16" t="s">
        <v>98</v>
      </c>
      <c r="E16">
        <v>20.73</v>
      </c>
      <c r="F16" t="s">
        <v>121</v>
      </c>
      <c r="G16" s="1">
        <v>46082</v>
      </c>
      <c r="H16" t="str" cm="1">
        <f t="array" ref="H16">Categorize(Tx[[#This Row],[Description]])</f>
        <v>Grocery</v>
      </c>
    </row>
    <row r="17" spans="1:8" x14ac:dyDescent="0.25">
      <c r="A17" t="s">
        <v>113</v>
      </c>
      <c r="B17" s="1">
        <v>46102</v>
      </c>
      <c r="C17" s="1">
        <v>46102</v>
      </c>
      <c r="D17" t="s">
        <v>96</v>
      </c>
      <c r="E17">
        <v>5.54</v>
      </c>
      <c r="F17" t="s">
        <v>114</v>
      </c>
      <c r="G17" s="1">
        <v>46082</v>
      </c>
      <c r="H17" t="str" cm="1">
        <f t="array" ref="H17">Categorize(Tx[[#This Row],[Description]])</f>
        <v>Cafe</v>
      </c>
    </row>
    <row r="18" spans="1:8" x14ac:dyDescent="0.25">
      <c r="A18" t="s">
        <v>113</v>
      </c>
      <c r="B18" s="1">
        <v>46102</v>
      </c>
      <c r="C18" s="1">
        <v>46103</v>
      </c>
      <c r="D18" t="s">
        <v>100</v>
      </c>
      <c r="E18">
        <v>17.760000000000002</v>
      </c>
      <c r="F18" t="s">
        <v>117</v>
      </c>
      <c r="G18" s="1">
        <v>46082</v>
      </c>
      <c r="H18" t="str" cm="1">
        <f t="array" ref="H18">Categorize(Tx[[#This Row],[Description]])</f>
        <v>Dining</v>
      </c>
    </row>
    <row r="19" spans="1:8" x14ac:dyDescent="0.25">
      <c r="A19" t="s">
        <v>113</v>
      </c>
      <c r="B19" s="1">
        <v>46102</v>
      </c>
      <c r="C19" s="1">
        <v>46103</v>
      </c>
      <c r="D19" t="s">
        <v>5</v>
      </c>
      <c r="E19">
        <v>15.99</v>
      </c>
      <c r="F19" t="s">
        <v>5</v>
      </c>
      <c r="G19" s="1">
        <v>46082</v>
      </c>
      <c r="H19" t="str" cm="1">
        <f t="array" ref="H19">Categorize(Tx[[#This Row],[Description]])</f>
        <v>Fees</v>
      </c>
    </row>
    <row r="20" spans="1:8" x14ac:dyDescent="0.25">
      <c r="A20" t="s">
        <v>113</v>
      </c>
      <c r="B20" s="1">
        <v>46101</v>
      </c>
      <c r="C20" s="1">
        <v>46101</v>
      </c>
      <c r="D20" t="s">
        <v>13</v>
      </c>
      <c r="E20">
        <v>48.99</v>
      </c>
      <c r="F20" t="s">
        <v>68</v>
      </c>
      <c r="G20" s="1">
        <v>46082</v>
      </c>
      <c r="H20" t="str" cm="1">
        <f t="array" ref="H20">Categorize(Tx[[#This Row],[Description]])</f>
        <v>Grocery</v>
      </c>
    </row>
    <row r="21" spans="1:8" x14ac:dyDescent="0.25">
      <c r="A21" t="s">
        <v>113</v>
      </c>
      <c r="B21" s="1">
        <v>46101</v>
      </c>
      <c r="C21" s="1">
        <v>46101</v>
      </c>
      <c r="D21" t="s">
        <v>94</v>
      </c>
      <c r="E21">
        <v>8.69</v>
      </c>
      <c r="F21" t="s">
        <v>122</v>
      </c>
      <c r="G21" s="1">
        <v>46082</v>
      </c>
      <c r="H21" t="str" cm="1">
        <f t="array" ref="H21">Categorize(Tx[[#This Row],[Description]])</f>
        <v>Cafe</v>
      </c>
    </row>
    <row r="22" spans="1:8" x14ac:dyDescent="0.25">
      <c r="A22" t="s">
        <v>113</v>
      </c>
      <c r="B22" s="1">
        <v>46101</v>
      </c>
      <c r="C22" s="1">
        <v>46101</v>
      </c>
      <c r="D22" t="s">
        <v>94</v>
      </c>
      <c r="E22">
        <v>11.16</v>
      </c>
      <c r="F22" t="s">
        <v>122</v>
      </c>
      <c r="G22" s="1">
        <v>46082</v>
      </c>
      <c r="H22" t="str" cm="1">
        <f t="array" ref="H22">Categorize(Tx[[#This Row],[Description]])</f>
        <v>Cafe</v>
      </c>
    </row>
    <row r="23" spans="1:8" x14ac:dyDescent="0.25">
      <c r="A23" t="s">
        <v>113</v>
      </c>
      <c r="B23" s="1">
        <v>46101</v>
      </c>
      <c r="C23" s="1">
        <v>46101</v>
      </c>
      <c r="D23" t="s">
        <v>17</v>
      </c>
      <c r="E23">
        <v>6.05</v>
      </c>
      <c r="F23" t="s">
        <v>73</v>
      </c>
      <c r="G23" s="1">
        <v>46082</v>
      </c>
      <c r="H23" t="str" cm="1">
        <f t="array" ref="H23">Categorize(Tx[[#This Row],[Description]])</f>
        <v>Parking</v>
      </c>
    </row>
    <row r="24" spans="1:8" x14ac:dyDescent="0.25">
      <c r="A24" t="s">
        <v>113</v>
      </c>
      <c r="B24" s="1">
        <v>46101</v>
      </c>
      <c r="C24" s="1">
        <v>46102</v>
      </c>
      <c r="D24" t="s">
        <v>6</v>
      </c>
      <c r="E24">
        <v>28</v>
      </c>
      <c r="F24" t="s">
        <v>62</v>
      </c>
      <c r="G24" s="1">
        <v>46082</v>
      </c>
      <c r="H24" t="str" cm="1">
        <f t="array" ref="H24">Categorize(Tx[[#This Row],[Description]])</f>
        <v>Subscription</v>
      </c>
    </row>
    <row r="25" spans="1:8" x14ac:dyDescent="0.25">
      <c r="A25" t="s">
        <v>113</v>
      </c>
      <c r="B25" s="1">
        <v>46100</v>
      </c>
      <c r="C25" s="1">
        <v>46100</v>
      </c>
      <c r="D25" t="s">
        <v>94</v>
      </c>
      <c r="E25">
        <v>5.92</v>
      </c>
      <c r="F25" t="s">
        <v>122</v>
      </c>
      <c r="G25" s="1">
        <v>46082</v>
      </c>
      <c r="H25" t="str" cm="1">
        <f t="array" ref="H25">Categorize(Tx[[#This Row],[Description]])</f>
        <v>Cafe</v>
      </c>
    </row>
    <row r="26" spans="1:8" x14ac:dyDescent="0.25">
      <c r="A26" t="s">
        <v>113</v>
      </c>
      <c r="B26" s="1">
        <v>46099</v>
      </c>
      <c r="C26" s="1">
        <v>46099</v>
      </c>
      <c r="D26" t="s">
        <v>97</v>
      </c>
      <c r="E26">
        <v>14.94</v>
      </c>
      <c r="F26" t="s">
        <v>29</v>
      </c>
      <c r="G26" s="1">
        <v>46082</v>
      </c>
      <c r="H26" t="str" cm="1">
        <f t="array" ref="H26">Categorize(Tx[[#This Row],[Description]])</f>
        <v>Transit</v>
      </c>
    </row>
    <row r="27" spans="1:8" x14ac:dyDescent="0.25">
      <c r="A27" t="s">
        <v>113</v>
      </c>
      <c r="B27" s="1">
        <v>46098</v>
      </c>
      <c r="C27" s="1">
        <v>46099</v>
      </c>
      <c r="D27" t="s">
        <v>20</v>
      </c>
      <c r="E27">
        <v>45.23</v>
      </c>
      <c r="F27" t="s">
        <v>20</v>
      </c>
      <c r="G27" s="1">
        <v>46082</v>
      </c>
      <c r="H27" t="str" cm="1">
        <f t="array" ref="H27">Categorize(Tx[[#This Row],[Description]])</f>
        <v>Hobby</v>
      </c>
    </row>
    <row r="28" spans="1:8" x14ac:dyDescent="0.25">
      <c r="A28" t="s">
        <v>113</v>
      </c>
      <c r="B28" s="1">
        <v>46097</v>
      </c>
      <c r="C28" s="1">
        <v>46099</v>
      </c>
      <c r="D28" t="s">
        <v>97</v>
      </c>
      <c r="E28">
        <v>22.94</v>
      </c>
      <c r="F28" t="s">
        <v>29</v>
      </c>
      <c r="G28" s="1">
        <v>46082</v>
      </c>
      <c r="H28" t="str" cm="1">
        <f t="array" ref="H28">Categorize(Tx[[#This Row],[Description]])</f>
        <v>Transit</v>
      </c>
    </row>
    <row r="29" spans="1:8" x14ac:dyDescent="0.25">
      <c r="A29" t="s">
        <v>113</v>
      </c>
      <c r="B29" s="1">
        <v>46097</v>
      </c>
      <c r="C29" s="1">
        <v>46099</v>
      </c>
      <c r="D29" t="s">
        <v>99</v>
      </c>
      <c r="E29">
        <v>32.840000000000003</v>
      </c>
      <c r="F29" t="s">
        <v>123</v>
      </c>
      <c r="G29" s="1">
        <v>46082</v>
      </c>
      <c r="H29" t="str" cm="1">
        <f t="array" ref="H29">Categorize(Tx[[#This Row],[Description]])</f>
        <v>Personal Care</v>
      </c>
    </row>
    <row r="30" spans="1:8" x14ac:dyDescent="0.25">
      <c r="A30" t="s">
        <v>113</v>
      </c>
      <c r="B30" s="1">
        <v>46096</v>
      </c>
      <c r="C30" s="1">
        <v>46097</v>
      </c>
      <c r="D30" t="s">
        <v>12</v>
      </c>
      <c r="E30">
        <v>67.599999999999994</v>
      </c>
      <c r="F30" t="s">
        <v>67</v>
      </c>
      <c r="G30" s="1">
        <v>46082</v>
      </c>
      <c r="H30" t="str" cm="1">
        <f t="array" ref="H30">Categorize(Tx[[#This Row],[Description]])</f>
        <v>Gas</v>
      </c>
    </row>
    <row r="31" spans="1:8" x14ac:dyDescent="0.25">
      <c r="A31" t="s">
        <v>113</v>
      </c>
      <c r="B31" s="1">
        <v>46096</v>
      </c>
      <c r="C31" s="1">
        <v>46096</v>
      </c>
      <c r="D31" t="s">
        <v>104</v>
      </c>
      <c r="E31">
        <v>16.809999999999999</v>
      </c>
      <c r="F31" t="s">
        <v>75</v>
      </c>
      <c r="G31" s="1">
        <v>46082</v>
      </c>
      <c r="H31" t="str" cm="1">
        <f t="array" ref="H31">Categorize(Tx[[#This Row],[Description]])</f>
        <v>Entertainment</v>
      </c>
    </row>
    <row r="32" spans="1:8" x14ac:dyDescent="0.25">
      <c r="A32" t="s">
        <v>113</v>
      </c>
      <c r="B32" s="1">
        <v>46096</v>
      </c>
      <c r="C32" s="1">
        <v>46098</v>
      </c>
      <c r="D32" t="s">
        <v>108</v>
      </c>
      <c r="E32">
        <v>28.03</v>
      </c>
      <c r="F32" t="s">
        <v>124</v>
      </c>
      <c r="G32" s="1">
        <v>46082</v>
      </c>
      <c r="H32" t="str" cm="1">
        <f t="array" ref="H32">Categorize(Tx[[#This Row],[Description]])</f>
        <v>Uncategorized</v>
      </c>
    </row>
    <row r="33" spans="1:8" x14ac:dyDescent="0.25">
      <c r="A33" t="s">
        <v>113</v>
      </c>
      <c r="B33" s="1">
        <v>46095</v>
      </c>
      <c r="C33" s="1">
        <v>46096</v>
      </c>
      <c r="D33" t="s">
        <v>18</v>
      </c>
      <c r="E33">
        <v>54.32</v>
      </c>
      <c r="F33" t="s">
        <v>76</v>
      </c>
      <c r="G33" s="1">
        <v>46082</v>
      </c>
      <c r="H33" t="str" cm="1">
        <f t="array" ref="H33">Categorize(Tx[[#This Row],[Description]])</f>
        <v>Gas</v>
      </c>
    </row>
    <row r="34" spans="1:8" x14ac:dyDescent="0.25">
      <c r="A34" t="s">
        <v>113</v>
      </c>
      <c r="B34" s="1">
        <v>46095</v>
      </c>
      <c r="C34" s="1">
        <v>46095</v>
      </c>
      <c r="D34" t="s">
        <v>10</v>
      </c>
      <c r="E34">
        <v>79.22</v>
      </c>
      <c r="F34" t="s">
        <v>65</v>
      </c>
      <c r="G34" s="1">
        <v>46082</v>
      </c>
      <c r="H34" t="str" cm="1">
        <f t="array" ref="H34">Categorize(Tx[[#This Row],[Description]])</f>
        <v>Insurance</v>
      </c>
    </row>
    <row r="35" spans="1:8" x14ac:dyDescent="0.25">
      <c r="A35" t="s">
        <v>113</v>
      </c>
      <c r="B35" s="1">
        <v>46094</v>
      </c>
      <c r="C35" s="1">
        <v>46095</v>
      </c>
      <c r="D35" t="s">
        <v>103</v>
      </c>
      <c r="E35">
        <v>48.86</v>
      </c>
      <c r="F35" t="s">
        <v>115</v>
      </c>
      <c r="G35" s="1">
        <v>46082</v>
      </c>
      <c r="H35" t="str" cm="1">
        <f t="array" ref="H35">Categorize(Tx[[#This Row],[Description]])</f>
        <v>Shopping</v>
      </c>
    </row>
    <row r="36" spans="1:8" x14ac:dyDescent="0.25">
      <c r="A36" t="s">
        <v>113</v>
      </c>
      <c r="B36" s="1">
        <v>46092</v>
      </c>
      <c r="C36" s="1">
        <v>46092</v>
      </c>
      <c r="D36" t="s">
        <v>95</v>
      </c>
      <c r="E36">
        <v>94.46</v>
      </c>
      <c r="F36" t="s">
        <v>120</v>
      </c>
      <c r="G36" s="1">
        <v>46082</v>
      </c>
      <c r="H36" t="str" cm="1">
        <f t="array" ref="H36">Categorize(Tx[[#This Row],[Description]])</f>
        <v>Grocery</v>
      </c>
    </row>
    <row r="37" spans="1:8" x14ac:dyDescent="0.25">
      <c r="A37" t="s">
        <v>113</v>
      </c>
      <c r="B37" s="1">
        <v>46092</v>
      </c>
      <c r="C37" s="1">
        <v>46093</v>
      </c>
      <c r="D37" t="s">
        <v>16</v>
      </c>
      <c r="E37">
        <v>30.17</v>
      </c>
      <c r="F37" t="s">
        <v>72</v>
      </c>
      <c r="G37" s="1">
        <v>46082</v>
      </c>
      <c r="H37" t="str" cm="1">
        <f t="array" ref="H37">Categorize(Tx[[#This Row],[Description]])</f>
        <v>Dining</v>
      </c>
    </row>
    <row r="38" spans="1:8" x14ac:dyDescent="0.25">
      <c r="A38" t="s">
        <v>113</v>
      </c>
      <c r="B38" s="1">
        <v>46092</v>
      </c>
      <c r="C38" s="1">
        <v>46094</v>
      </c>
      <c r="D38" t="s">
        <v>14</v>
      </c>
      <c r="E38">
        <v>20.94</v>
      </c>
      <c r="F38" t="s">
        <v>69</v>
      </c>
      <c r="G38" s="1">
        <v>46082</v>
      </c>
      <c r="H38" t="str" cm="1">
        <f t="array" ref="H38">Categorize(Tx[[#This Row],[Description]])</f>
        <v>Car Share</v>
      </c>
    </row>
    <row r="39" spans="1:8" x14ac:dyDescent="0.25">
      <c r="A39" t="s">
        <v>113</v>
      </c>
      <c r="B39" s="1">
        <v>46091</v>
      </c>
      <c r="C39" s="1">
        <v>46092</v>
      </c>
      <c r="D39" t="s">
        <v>17</v>
      </c>
      <c r="E39">
        <v>4.09</v>
      </c>
      <c r="F39" t="s">
        <v>73</v>
      </c>
      <c r="G39" s="1">
        <v>46082</v>
      </c>
      <c r="H39" t="str" cm="1">
        <f t="array" ref="H39">Categorize(Tx[[#This Row],[Description]])</f>
        <v>Parking</v>
      </c>
    </row>
    <row r="40" spans="1:8" x14ac:dyDescent="0.25">
      <c r="A40" t="s">
        <v>113</v>
      </c>
      <c r="B40" s="1">
        <v>46091</v>
      </c>
      <c r="C40" s="1">
        <v>46091</v>
      </c>
      <c r="D40" t="s">
        <v>101</v>
      </c>
      <c r="E40">
        <v>9.67</v>
      </c>
      <c r="F40" t="s">
        <v>119</v>
      </c>
      <c r="G40" s="1">
        <v>46082</v>
      </c>
      <c r="H40" t="str" cm="1">
        <f t="array" ref="H40">Categorize(Tx[[#This Row],[Description]])</f>
        <v>Parking</v>
      </c>
    </row>
    <row r="41" spans="1:8" x14ac:dyDescent="0.25">
      <c r="A41" t="s">
        <v>113</v>
      </c>
      <c r="B41" s="1">
        <v>46090</v>
      </c>
      <c r="C41" s="1">
        <v>46092</v>
      </c>
      <c r="D41" t="s">
        <v>106</v>
      </c>
      <c r="E41">
        <v>20.62</v>
      </c>
      <c r="F41" t="s">
        <v>125</v>
      </c>
      <c r="G41" s="1">
        <v>46082</v>
      </c>
      <c r="H41" t="str" cm="1">
        <f t="array" ref="H41">Categorize(Tx[[#This Row],[Description]])</f>
        <v>Uncategorized</v>
      </c>
    </row>
    <row r="42" spans="1:8" x14ac:dyDescent="0.25">
      <c r="A42" t="s">
        <v>113</v>
      </c>
      <c r="B42" s="1">
        <v>46089</v>
      </c>
      <c r="C42" s="1">
        <v>46090</v>
      </c>
      <c r="D42" t="s">
        <v>19</v>
      </c>
      <c r="E42">
        <v>40.72</v>
      </c>
      <c r="F42" t="s">
        <v>19</v>
      </c>
      <c r="G42" s="1">
        <v>46082</v>
      </c>
      <c r="H42" t="str" cm="1">
        <f t="array" ref="H42">Categorize(Tx[[#This Row],[Description]])</f>
        <v>Home</v>
      </c>
    </row>
    <row r="43" spans="1:8" x14ac:dyDescent="0.25">
      <c r="A43" t="s">
        <v>113</v>
      </c>
      <c r="B43" s="1">
        <v>46088</v>
      </c>
      <c r="C43" s="1">
        <v>46088</v>
      </c>
      <c r="D43" t="s">
        <v>94</v>
      </c>
      <c r="E43">
        <v>5.23</v>
      </c>
      <c r="F43" t="s">
        <v>122</v>
      </c>
      <c r="G43" s="1">
        <v>46082</v>
      </c>
      <c r="H43" t="str" cm="1">
        <f t="array" ref="H43">Categorize(Tx[[#This Row],[Description]])</f>
        <v>Cafe</v>
      </c>
    </row>
    <row r="44" spans="1:8" x14ac:dyDescent="0.25">
      <c r="A44" t="s">
        <v>113</v>
      </c>
      <c r="B44" s="1">
        <v>46087</v>
      </c>
      <c r="C44" s="1">
        <v>46088</v>
      </c>
      <c r="D44" t="s">
        <v>95</v>
      </c>
      <c r="E44">
        <v>80.05</v>
      </c>
      <c r="F44" t="s">
        <v>120</v>
      </c>
      <c r="G44" s="1">
        <v>46082</v>
      </c>
      <c r="H44" t="str" cm="1">
        <f t="array" ref="H44">Categorize(Tx[[#This Row],[Description]])</f>
        <v>Grocery</v>
      </c>
    </row>
    <row r="45" spans="1:8" x14ac:dyDescent="0.25">
      <c r="A45" t="s">
        <v>113</v>
      </c>
      <c r="B45" s="1">
        <v>46087</v>
      </c>
      <c r="C45" s="1">
        <v>46089</v>
      </c>
      <c r="D45" t="s">
        <v>14</v>
      </c>
      <c r="E45">
        <v>8.35</v>
      </c>
      <c r="F45" t="s">
        <v>69</v>
      </c>
      <c r="G45" s="1">
        <v>46082</v>
      </c>
      <c r="H45" t="str" cm="1">
        <f t="array" ref="H45">Categorize(Tx[[#This Row],[Description]])</f>
        <v>Car Share</v>
      </c>
    </row>
    <row r="46" spans="1:8" x14ac:dyDescent="0.25">
      <c r="A46" t="s">
        <v>113</v>
      </c>
      <c r="B46" s="1">
        <v>46087</v>
      </c>
      <c r="C46" s="1">
        <v>46088</v>
      </c>
      <c r="D46" t="s">
        <v>99</v>
      </c>
      <c r="E46">
        <v>26.54</v>
      </c>
      <c r="F46" t="s">
        <v>123</v>
      </c>
      <c r="G46" s="1">
        <v>46082</v>
      </c>
      <c r="H46" t="str" cm="1">
        <f t="array" ref="H46">Categorize(Tx[[#This Row],[Description]])</f>
        <v>Personal Care</v>
      </c>
    </row>
    <row r="47" spans="1:8" x14ac:dyDescent="0.25">
      <c r="A47" t="s">
        <v>113</v>
      </c>
      <c r="B47" s="1">
        <v>46086</v>
      </c>
      <c r="C47" s="1">
        <v>46088</v>
      </c>
      <c r="D47" t="s">
        <v>8</v>
      </c>
      <c r="E47">
        <v>34.32</v>
      </c>
      <c r="F47" t="s">
        <v>64</v>
      </c>
      <c r="G47" s="1">
        <v>46082</v>
      </c>
      <c r="H47" t="str" cm="1">
        <f t="array" ref="H47">Categorize(Tx[[#This Row],[Description]])</f>
        <v>Grocery</v>
      </c>
    </row>
    <row r="48" spans="1:8" x14ac:dyDescent="0.25">
      <c r="A48" t="s">
        <v>113</v>
      </c>
      <c r="B48" s="1">
        <v>46086</v>
      </c>
      <c r="C48" s="1">
        <v>46086</v>
      </c>
      <c r="D48" t="s">
        <v>98</v>
      </c>
      <c r="E48">
        <v>51.24</v>
      </c>
      <c r="F48" t="s">
        <v>121</v>
      </c>
      <c r="G48" s="1">
        <v>46082</v>
      </c>
      <c r="H48" t="str" cm="1">
        <f t="array" ref="H48">Categorize(Tx[[#This Row],[Description]])</f>
        <v>Grocery</v>
      </c>
    </row>
    <row r="49" spans="1:8" x14ac:dyDescent="0.25">
      <c r="A49" t="s">
        <v>113</v>
      </c>
      <c r="B49" s="1">
        <v>46086</v>
      </c>
      <c r="C49" s="1">
        <v>46088</v>
      </c>
      <c r="D49" t="s">
        <v>99</v>
      </c>
      <c r="E49">
        <v>41.93</v>
      </c>
      <c r="F49" t="s">
        <v>123</v>
      </c>
      <c r="G49" s="1">
        <v>46082</v>
      </c>
      <c r="H49" t="str" cm="1">
        <f t="array" ref="H49">Categorize(Tx[[#This Row],[Description]])</f>
        <v>Personal Care</v>
      </c>
    </row>
    <row r="50" spans="1:8" x14ac:dyDescent="0.25">
      <c r="A50" t="s">
        <v>113</v>
      </c>
      <c r="B50" s="1">
        <v>46085</v>
      </c>
      <c r="C50" s="1">
        <v>46085</v>
      </c>
      <c r="D50" t="s">
        <v>102</v>
      </c>
      <c r="E50">
        <v>68.150000000000006</v>
      </c>
      <c r="F50" t="s">
        <v>116</v>
      </c>
      <c r="G50" s="1">
        <v>46082</v>
      </c>
      <c r="H50" t="str" cm="1">
        <f t="array" ref="H50">Categorize(Tx[[#This Row],[Description]])</f>
        <v>Grocery</v>
      </c>
    </row>
    <row r="51" spans="1:8" x14ac:dyDescent="0.25">
      <c r="A51" t="s">
        <v>113</v>
      </c>
      <c r="B51" s="1">
        <v>46085</v>
      </c>
      <c r="C51" s="1">
        <v>46085</v>
      </c>
      <c r="D51" t="s">
        <v>104</v>
      </c>
      <c r="E51">
        <v>19.86</v>
      </c>
      <c r="F51" t="s">
        <v>75</v>
      </c>
      <c r="G51" s="1">
        <v>46082</v>
      </c>
      <c r="H51" t="str" cm="1">
        <f t="array" ref="H51">Categorize(Tx[[#This Row],[Description]])</f>
        <v>Entertainment</v>
      </c>
    </row>
    <row r="52" spans="1:8" x14ac:dyDescent="0.25">
      <c r="A52" t="s">
        <v>113</v>
      </c>
      <c r="B52" s="1">
        <v>46084</v>
      </c>
      <c r="C52" s="1">
        <v>46085</v>
      </c>
      <c r="D52" t="s">
        <v>95</v>
      </c>
      <c r="E52">
        <v>59.66</v>
      </c>
      <c r="F52" t="s">
        <v>120</v>
      </c>
      <c r="G52" s="1">
        <v>46082</v>
      </c>
      <c r="H52" t="str" cm="1">
        <f t="array" ref="H52">Categorize(Tx[[#This Row],[Description]])</f>
        <v>Grocery</v>
      </c>
    </row>
    <row r="53" spans="1:8" x14ac:dyDescent="0.25">
      <c r="A53" t="s">
        <v>113</v>
      </c>
      <c r="B53" s="1">
        <v>46084</v>
      </c>
      <c r="C53" s="1">
        <v>46084</v>
      </c>
      <c r="D53" t="s">
        <v>105</v>
      </c>
      <c r="E53">
        <v>57.16</v>
      </c>
      <c r="F53" t="s">
        <v>74</v>
      </c>
      <c r="G53" s="1">
        <v>46082</v>
      </c>
      <c r="H53" t="str" cm="1">
        <f t="array" ref="H53">Categorize(Tx[[#This Row],[Description]])</f>
        <v>Dining</v>
      </c>
    </row>
    <row r="54" spans="1:8" x14ac:dyDescent="0.25">
      <c r="A54" t="s">
        <v>113</v>
      </c>
      <c r="B54" s="1">
        <v>46082</v>
      </c>
      <c r="C54" s="1">
        <v>46082</v>
      </c>
      <c r="D54" t="s">
        <v>9</v>
      </c>
      <c r="E54">
        <v>18.27</v>
      </c>
      <c r="F54" t="s">
        <v>37</v>
      </c>
      <c r="G54" s="1">
        <v>46082</v>
      </c>
      <c r="H54" t="str" cm="1">
        <f t="array" ref="H54">Categorize(Tx[[#This Row],[Description]])</f>
        <v>Cafe</v>
      </c>
    </row>
    <row r="55" spans="1:8" x14ac:dyDescent="0.25">
      <c r="A55" t="s">
        <v>113</v>
      </c>
      <c r="B55" s="1">
        <v>46082</v>
      </c>
      <c r="C55" s="1">
        <v>46082</v>
      </c>
      <c r="D55" t="s">
        <v>97</v>
      </c>
      <c r="E55">
        <v>18.63</v>
      </c>
      <c r="F55" t="s">
        <v>29</v>
      </c>
      <c r="G55" s="1">
        <v>46082</v>
      </c>
      <c r="H55" t="str" cm="1">
        <f t="array" ref="H55">Categorize(Tx[[#This Row],[Description]])</f>
        <v>Transit</v>
      </c>
    </row>
    <row r="56" spans="1:8" x14ac:dyDescent="0.25">
      <c r="A56" t="s">
        <v>126</v>
      </c>
      <c r="B56" s="1">
        <v>46142</v>
      </c>
      <c r="C56" s="1">
        <v>46142</v>
      </c>
      <c r="D56" t="s">
        <v>96</v>
      </c>
      <c r="E56">
        <v>4.91</v>
      </c>
      <c r="F56" t="s">
        <v>114</v>
      </c>
      <c r="G56" s="1">
        <v>46113</v>
      </c>
      <c r="H56" t="str" cm="1">
        <f t="array" ref="H56">Categorize(Tx[[#This Row],[Description]])</f>
        <v>Cafe</v>
      </c>
    </row>
    <row r="57" spans="1:8" x14ac:dyDescent="0.25">
      <c r="A57" t="s">
        <v>126</v>
      </c>
      <c r="B57" s="1">
        <v>46142</v>
      </c>
      <c r="C57" s="1">
        <v>46143</v>
      </c>
      <c r="D57" t="s">
        <v>7</v>
      </c>
      <c r="E57">
        <v>70.430000000000007</v>
      </c>
      <c r="F57" t="s">
        <v>63</v>
      </c>
      <c r="G57" s="1">
        <v>46113</v>
      </c>
      <c r="H57" t="str" cm="1">
        <f t="array" ref="H57">Categorize(Tx[[#This Row],[Description]])</f>
        <v>Home</v>
      </c>
    </row>
    <row r="58" spans="1:8" x14ac:dyDescent="0.25">
      <c r="A58" t="s">
        <v>126</v>
      </c>
      <c r="B58" s="1">
        <v>46141</v>
      </c>
      <c r="C58" s="1">
        <v>46142</v>
      </c>
      <c r="D58" t="s">
        <v>8</v>
      </c>
      <c r="E58">
        <v>56.84</v>
      </c>
      <c r="F58" t="s">
        <v>64</v>
      </c>
      <c r="G58" s="1">
        <v>46113</v>
      </c>
      <c r="H58" t="str" cm="1">
        <f t="array" ref="H58">Categorize(Tx[[#This Row],[Description]])</f>
        <v>Grocery</v>
      </c>
    </row>
    <row r="59" spans="1:8" x14ac:dyDescent="0.25">
      <c r="A59" t="s">
        <v>126</v>
      </c>
      <c r="B59" s="1">
        <v>46141</v>
      </c>
      <c r="C59" s="1">
        <v>46141</v>
      </c>
      <c r="D59" t="s">
        <v>105</v>
      </c>
      <c r="E59">
        <v>43.87</v>
      </c>
      <c r="F59" t="s">
        <v>74</v>
      </c>
      <c r="G59" s="1">
        <v>46113</v>
      </c>
      <c r="H59" t="str" cm="1">
        <f t="array" ref="H59">Categorize(Tx[[#This Row],[Description]])</f>
        <v>Dining</v>
      </c>
    </row>
    <row r="60" spans="1:8" x14ac:dyDescent="0.25">
      <c r="A60" t="s">
        <v>126</v>
      </c>
      <c r="B60" s="1">
        <v>46141</v>
      </c>
      <c r="C60" s="1">
        <v>46141</v>
      </c>
      <c r="D60" t="s">
        <v>12</v>
      </c>
      <c r="E60">
        <v>59.92</v>
      </c>
      <c r="F60" t="s">
        <v>67</v>
      </c>
      <c r="G60" s="1">
        <v>46113</v>
      </c>
      <c r="H60" t="str" cm="1">
        <f t="array" ref="H60">Categorize(Tx[[#This Row],[Description]])</f>
        <v>Gas</v>
      </c>
    </row>
    <row r="61" spans="1:8" x14ac:dyDescent="0.25">
      <c r="A61" t="s">
        <v>126</v>
      </c>
      <c r="B61" s="1">
        <v>46141</v>
      </c>
      <c r="C61" s="1">
        <v>46142</v>
      </c>
      <c r="D61" t="s">
        <v>17</v>
      </c>
      <c r="E61">
        <v>8.2799999999999994</v>
      </c>
      <c r="F61" t="s">
        <v>73</v>
      </c>
      <c r="G61" s="1">
        <v>46113</v>
      </c>
      <c r="H61" t="str" cm="1">
        <f t="array" ref="H61">Categorize(Tx[[#This Row],[Description]])</f>
        <v>Parking</v>
      </c>
    </row>
    <row r="62" spans="1:8" x14ac:dyDescent="0.25">
      <c r="A62" t="s">
        <v>126</v>
      </c>
      <c r="B62" s="1">
        <v>46140</v>
      </c>
      <c r="C62" s="1">
        <v>46140</v>
      </c>
      <c r="D62" t="s">
        <v>94</v>
      </c>
      <c r="E62">
        <v>9.56</v>
      </c>
      <c r="F62" t="s">
        <v>122</v>
      </c>
      <c r="G62" s="1">
        <v>46113</v>
      </c>
      <c r="H62" t="str" cm="1">
        <f t="array" ref="H62">Categorize(Tx[[#This Row],[Description]])</f>
        <v>Cafe</v>
      </c>
    </row>
    <row r="63" spans="1:8" x14ac:dyDescent="0.25">
      <c r="A63" t="s">
        <v>126</v>
      </c>
      <c r="B63" s="1">
        <v>46139</v>
      </c>
      <c r="C63" s="1">
        <v>46141</v>
      </c>
      <c r="D63" t="s">
        <v>96</v>
      </c>
      <c r="E63">
        <v>9</v>
      </c>
      <c r="F63" t="s">
        <v>114</v>
      </c>
      <c r="G63" s="1">
        <v>46113</v>
      </c>
      <c r="H63" t="str" cm="1">
        <f t="array" ref="H63">Categorize(Tx[[#This Row],[Description]])</f>
        <v>Cafe</v>
      </c>
    </row>
    <row r="64" spans="1:8" x14ac:dyDescent="0.25">
      <c r="A64" t="s">
        <v>126</v>
      </c>
      <c r="B64" s="1">
        <v>46138</v>
      </c>
      <c r="C64" s="1">
        <v>46138</v>
      </c>
      <c r="D64" t="s">
        <v>97</v>
      </c>
      <c r="E64">
        <v>31.44</v>
      </c>
      <c r="F64" t="s">
        <v>29</v>
      </c>
      <c r="G64" s="1">
        <v>46113</v>
      </c>
      <c r="H64" t="str" cm="1">
        <f t="array" ref="H64">Categorize(Tx[[#This Row],[Description]])</f>
        <v>Transit</v>
      </c>
    </row>
    <row r="65" spans="1:8" x14ac:dyDescent="0.25">
      <c r="A65" t="s">
        <v>126</v>
      </c>
      <c r="B65" s="1">
        <v>46138</v>
      </c>
      <c r="C65" s="1">
        <v>46139</v>
      </c>
      <c r="D65" t="s">
        <v>19</v>
      </c>
      <c r="E65">
        <v>15.13</v>
      </c>
      <c r="F65" t="s">
        <v>19</v>
      </c>
      <c r="G65" s="1">
        <v>46113</v>
      </c>
      <c r="H65" t="str" cm="1">
        <f t="array" ref="H65">Categorize(Tx[[#This Row],[Description]])</f>
        <v>Home</v>
      </c>
    </row>
    <row r="66" spans="1:8" x14ac:dyDescent="0.25">
      <c r="A66" t="s">
        <v>126</v>
      </c>
      <c r="B66" s="1">
        <v>46138</v>
      </c>
      <c r="C66" s="1">
        <v>46138</v>
      </c>
      <c r="D66" t="s">
        <v>107</v>
      </c>
      <c r="E66">
        <v>-13.16</v>
      </c>
      <c r="F66" t="s">
        <v>40</v>
      </c>
      <c r="G66" s="1">
        <v>46113</v>
      </c>
      <c r="H66" t="str" cm="1">
        <f t="array" ref="H66">Categorize(Tx[[#This Row],[Description]])</f>
        <v>Online Shopping</v>
      </c>
    </row>
    <row r="67" spans="1:8" x14ac:dyDescent="0.25">
      <c r="A67" t="s">
        <v>126</v>
      </c>
      <c r="B67" s="1">
        <v>46137</v>
      </c>
      <c r="C67" s="1">
        <v>46138</v>
      </c>
      <c r="D67" t="s">
        <v>99</v>
      </c>
      <c r="E67">
        <v>36.380000000000003</v>
      </c>
      <c r="F67" t="s">
        <v>123</v>
      </c>
      <c r="G67" s="1">
        <v>46113</v>
      </c>
      <c r="H67" t="str" cm="1">
        <f t="array" ref="H67">Categorize(Tx[[#This Row],[Description]])</f>
        <v>Personal Care</v>
      </c>
    </row>
    <row r="68" spans="1:8" x14ac:dyDescent="0.25">
      <c r="A68" t="s">
        <v>126</v>
      </c>
      <c r="B68" s="1">
        <v>46135</v>
      </c>
      <c r="C68" s="1">
        <v>46136</v>
      </c>
      <c r="D68" t="s">
        <v>16</v>
      </c>
      <c r="E68">
        <v>27.76</v>
      </c>
      <c r="F68" t="s">
        <v>72</v>
      </c>
      <c r="G68" s="1">
        <v>46113</v>
      </c>
      <c r="H68" t="str" cm="1">
        <f t="array" ref="H68">Categorize(Tx[[#This Row],[Description]])</f>
        <v>Dining</v>
      </c>
    </row>
    <row r="69" spans="1:8" x14ac:dyDescent="0.25">
      <c r="A69" t="s">
        <v>126</v>
      </c>
      <c r="B69" s="1">
        <v>46135</v>
      </c>
      <c r="C69" s="1">
        <v>46136</v>
      </c>
      <c r="D69" t="s">
        <v>16</v>
      </c>
      <c r="E69">
        <v>23.24</v>
      </c>
      <c r="F69" t="s">
        <v>72</v>
      </c>
      <c r="G69" s="1">
        <v>46113</v>
      </c>
      <c r="H69" t="str" cm="1">
        <f t="array" ref="H69">Categorize(Tx[[#This Row],[Description]])</f>
        <v>Dining</v>
      </c>
    </row>
    <row r="70" spans="1:8" x14ac:dyDescent="0.25">
      <c r="A70" t="s">
        <v>126</v>
      </c>
      <c r="B70" s="1">
        <v>46135</v>
      </c>
      <c r="C70" s="1">
        <v>46136</v>
      </c>
      <c r="D70" t="s">
        <v>107</v>
      </c>
      <c r="E70">
        <v>16.149999999999999</v>
      </c>
      <c r="F70" t="s">
        <v>40</v>
      </c>
      <c r="G70" s="1">
        <v>46113</v>
      </c>
      <c r="H70" t="str" cm="1">
        <f t="array" ref="H70">Categorize(Tx[[#This Row],[Description]])</f>
        <v>Online Shopping</v>
      </c>
    </row>
    <row r="71" spans="1:8" x14ac:dyDescent="0.25">
      <c r="A71" t="s">
        <v>126</v>
      </c>
      <c r="B71" s="1">
        <v>46135</v>
      </c>
      <c r="C71" s="1">
        <v>46137</v>
      </c>
      <c r="D71" t="s">
        <v>103</v>
      </c>
      <c r="E71">
        <v>104.9</v>
      </c>
      <c r="F71" t="s">
        <v>115</v>
      </c>
      <c r="G71" s="1">
        <v>46113</v>
      </c>
      <c r="H71" t="str" cm="1">
        <f t="array" ref="H71">Categorize(Tx[[#This Row],[Description]])</f>
        <v>Shopping</v>
      </c>
    </row>
    <row r="72" spans="1:8" x14ac:dyDescent="0.25">
      <c r="A72" t="s">
        <v>126</v>
      </c>
      <c r="B72" s="1">
        <v>46134</v>
      </c>
      <c r="C72" s="1">
        <v>46135</v>
      </c>
      <c r="D72" t="s">
        <v>17</v>
      </c>
      <c r="E72">
        <v>2.4</v>
      </c>
      <c r="F72" t="s">
        <v>73</v>
      </c>
      <c r="G72" s="1">
        <v>46113</v>
      </c>
      <c r="H72" t="str" cm="1">
        <f t="array" ref="H72">Categorize(Tx[[#This Row],[Description]])</f>
        <v>Parking</v>
      </c>
    </row>
    <row r="73" spans="1:8" x14ac:dyDescent="0.25">
      <c r="A73" t="s">
        <v>126</v>
      </c>
      <c r="B73" s="1">
        <v>46134</v>
      </c>
      <c r="C73" s="1">
        <v>46134</v>
      </c>
      <c r="D73" t="s">
        <v>17</v>
      </c>
      <c r="E73">
        <v>3.46</v>
      </c>
      <c r="F73" t="s">
        <v>73</v>
      </c>
      <c r="G73" s="1">
        <v>46113</v>
      </c>
      <c r="H73" t="str" cm="1">
        <f t="array" ref="H73">Categorize(Tx[[#This Row],[Description]])</f>
        <v>Parking</v>
      </c>
    </row>
    <row r="74" spans="1:8" x14ac:dyDescent="0.25">
      <c r="A74" t="s">
        <v>126</v>
      </c>
      <c r="B74" s="1">
        <v>46134</v>
      </c>
      <c r="C74" s="1">
        <v>46135</v>
      </c>
      <c r="D74" t="s">
        <v>101</v>
      </c>
      <c r="E74">
        <v>5.72</v>
      </c>
      <c r="F74" t="s">
        <v>119</v>
      </c>
      <c r="G74" s="1">
        <v>46113</v>
      </c>
      <c r="H74" t="str" cm="1">
        <f t="array" ref="H74">Categorize(Tx[[#This Row],[Description]])</f>
        <v>Parking</v>
      </c>
    </row>
    <row r="75" spans="1:8" x14ac:dyDescent="0.25">
      <c r="A75" t="s">
        <v>126</v>
      </c>
      <c r="B75" s="1">
        <v>46134</v>
      </c>
      <c r="C75" s="1">
        <v>46135</v>
      </c>
      <c r="D75" t="s">
        <v>97</v>
      </c>
      <c r="E75">
        <v>29.15</v>
      </c>
      <c r="F75" t="s">
        <v>29</v>
      </c>
      <c r="G75" s="1">
        <v>46113</v>
      </c>
      <c r="H75" t="str" cm="1">
        <f t="array" ref="H75">Categorize(Tx[[#This Row],[Description]])</f>
        <v>Transit</v>
      </c>
    </row>
    <row r="76" spans="1:8" x14ac:dyDescent="0.25">
      <c r="A76" t="s">
        <v>126</v>
      </c>
      <c r="B76" s="1">
        <v>46133</v>
      </c>
      <c r="C76" s="1">
        <v>46133</v>
      </c>
      <c r="D76" t="s">
        <v>5</v>
      </c>
      <c r="E76">
        <v>15.99</v>
      </c>
      <c r="F76" t="s">
        <v>5</v>
      </c>
      <c r="G76" s="1">
        <v>46113</v>
      </c>
      <c r="H76" t="str" cm="1">
        <f t="array" ref="H76">Categorize(Tx[[#This Row],[Description]])</f>
        <v>Fees</v>
      </c>
    </row>
    <row r="77" spans="1:8" x14ac:dyDescent="0.25">
      <c r="A77" t="s">
        <v>126</v>
      </c>
      <c r="B77" s="1">
        <v>46132</v>
      </c>
      <c r="C77" s="1">
        <v>46133</v>
      </c>
      <c r="D77" t="s">
        <v>95</v>
      </c>
      <c r="E77">
        <v>81.8</v>
      </c>
      <c r="F77" t="s">
        <v>120</v>
      </c>
      <c r="G77" s="1">
        <v>46113</v>
      </c>
      <c r="H77" t="str" cm="1">
        <f t="array" ref="H77">Categorize(Tx[[#This Row],[Description]])</f>
        <v>Grocery</v>
      </c>
    </row>
    <row r="78" spans="1:8" x14ac:dyDescent="0.25">
      <c r="A78" t="s">
        <v>126</v>
      </c>
      <c r="B78" s="1">
        <v>46132</v>
      </c>
      <c r="C78" s="1">
        <v>46132</v>
      </c>
      <c r="D78" t="s">
        <v>98</v>
      </c>
      <c r="E78">
        <v>24.89</v>
      </c>
      <c r="F78" t="s">
        <v>121</v>
      </c>
      <c r="G78" s="1">
        <v>46113</v>
      </c>
      <c r="H78" t="str" cm="1">
        <f t="array" ref="H78">Categorize(Tx[[#This Row],[Description]])</f>
        <v>Grocery</v>
      </c>
    </row>
    <row r="79" spans="1:8" x14ac:dyDescent="0.25">
      <c r="A79" t="s">
        <v>126</v>
      </c>
      <c r="B79" s="1">
        <v>46132</v>
      </c>
      <c r="C79" s="1">
        <v>46132</v>
      </c>
      <c r="D79" t="s">
        <v>18</v>
      </c>
      <c r="E79">
        <v>77.38</v>
      </c>
      <c r="F79" t="s">
        <v>76</v>
      </c>
      <c r="G79" s="1">
        <v>46113</v>
      </c>
      <c r="H79" t="str" cm="1">
        <f t="array" ref="H79">Categorize(Tx[[#This Row],[Description]])</f>
        <v>Gas</v>
      </c>
    </row>
    <row r="80" spans="1:8" x14ac:dyDescent="0.25">
      <c r="A80" t="s">
        <v>126</v>
      </c>
      <c r="B80" s="1">
        <v>46132</v>
      </c>
      <c r="C80" s="1">
        <v>46133</v>
      </c>
      <c r="D80" t="s">
        <v>6</v>
      </c>
      <c r="E80">
        <v>28</v>
      </c>
      <c r="F80" t="s">
        <v>62</v>
      </c>
      <c r="G80" s="1">
        <v>46113</v>
      </c>
      <c r="H80" t="str" cm="1">
        <f t="array" ref="H80">Categorize(Tx[[#This Row],[Description]])</f>
        <v>Subscription</v>
      </c>
    </row>
    <row r="81" spans="1:8" x14ac:dyDescent="0.25">
      <c r="A81" t="s">
        <v>126</v>
      </c>
      <c r="B81" s="1">
        <v>46131</v>
      </c>
      <c r="C81" s="1">
        <v>46133</v>
      </c>
      <c r="D81" t="s">
        <v>17</v>
      </c>
      <c r="E81">
        <v>2.85</v>
      </c>
      <c r="F81" t="s">
        <v>73</v>
      </c>
      <c r="G81" s="1">
        <v>46113</v>
      </c>
      <c r="H81" t="str" cm="1">
        <f t="array" ref="H81">Categorize(Tx[[#This Row],[Description]])</f>
        <v>Parking</v>
      </c>
    </row>
    <row r="82" spans="1:8" x14ac:dyDescent="0.25">
      <c r="A82" t="s">
        <v>126</v>
      </c>
      <c r="B82" s="1">
        <v>46129</v>
      </c>
      <c r="C82" s="1">
        <v>46130</v>
      </c>
      <c r="D82" t="s">
        <v>20</v>
      </c>
      <c r="E82">
        <v>49.98</v>
      </c>
      <c r="F82" t="s">
        <v>20</v>
      </c>
      <c r="G82" s="1">
        <v>46113</v>
      </c>
      <c r="H82" t="str" cm="1">
        <f t="array" ref="H82">Categorize(Tx[[#This Row],[Description]])</f>
        <v>Hobby</v>
      </c>
    </row>
    <row r="83" spans="1:8" x14ac:dyDescent="0.25">
      <c r="A83" t="s">
        <v>126</v>
      </c>
      <c r="B83" s="1">
        <v>46128</v>
      </c>
      <c r="C83" s="1">
        <v>46130</v>
      </c>
      <c r="D83" t="s">
        <v>94</v>
      </c>
      <c r="E83">
        <v>11.17</v>
      </c>
      <c r="F83" t="s">
        <v>122</v>
      </c>
      <c r="G83" s="1">
        <v>46113</v>
      </c>
      <c r="H83" t="str" cm="1">
        <f t="array" ref="H83">Categorize(Tx[[#This Row],[Description]])</f>
        <v>Cafe</v>
      </c>
    </row>
    <row r="84" spans="1:8" x14ac:dyDescent="0.25">
      <c r="A84" t="s">
        <v>126</v>
      </c>
      <c r="B84" s="1">
        <v>46127</v>
      </c>
      <c r="C84" s="1">
        <v>46127</v>
      </c>
      <c r="D84" t="s">
        <v>11</v>
      </c>
      <c r="E84">
        <v>15.08</v>
      </c>
      <c r="F84" t="s">
        <v>66</v>
      </c>
      <c r="G84" s="1">
        <v>46113</v>
      </c>
      <c r="H84" t="str" cm="1">
        <f t="array" ref="H84">Categorize(Tx[[#This Row],[Description]])</f>
        <v>Car Share</v>
      </c>
    </row>
    <row r="85" spans="1:8" x14ac:dyDescent="0.25">
      <c r="A85" t="s">
        <v>126</v>
      </c>
      <c r="B85" s="1">
        <v>46126</v>
      </c>
      <c r="C85" s="1">
        <v>46128</v>
      </c>
      <c r="D85" t="s">
        <v>10</v>
      </c>
      <c r="E85">
        <v>79.22</v>
      </c>
      <c r="F85" t="s">
        <v>65</v>
      </c>
      <c r="G85" s="1">
        <v>46113</v>
      </c>
      <c r="H85" t="str" cm="1">
        <f t="array" ref="H85">Categorize(Tx[[#This Row],[Description]])</f>
        <v>Insurance</v>
      </c>
    </row>
    <row r="86" spans="1:8" x14ac:dyDescent="0.25">
      <c r="A86" t="s">
        <v>126</v>
      </c>
      <c r="B86" s="1">
        <v>46125</v>
      </c>
      <c r="C86" s="1">
        <v>46125</v>
      </c>
      <c r="D86" t="s">
        <v>96</v>
      </c>
      <c r="E86">
        <v>8.59</v>
      </c>
      <c r="F86" t="s">
        <v>114</v>
      </c>
      <c r="G86" s="1">
        <v>46113</v>
      </c>
      <c r="H86" t="str" cm="1">
        <f t="array" ref="H86">Categorize(Tx[[#This Row],[Description]])</f>
        <v>Cafe</v>
      </c>
    </row>
    <row r="87" spans="1:8" x14ac:dyDescent="0.25">
      <c r="A87" t="s">
        <v>126</v>
      </c>
      <c r="B87" s="1">
        <v>46123</v>
      </c>
      <c r="C87" s="1">
        <v>46123</v>
      </c>
      <c r="D87" t="s">
        <v>7</v>
      </c>
      <c r="E87">
        <v>123.45</v>
      </c>
      <c r="F87" t="s">
        <v>63</v>
      </c>
      <c r="G87" s="1">
        <v>46113</v>
      </c>
      <c r="H87" t="str" cm="1">
        <f t="array" ref="H87">Categorize(Tx[[#This Row],[Description]])</f>
        <v>Home</v>
      </c>
    </row>
    <row r="88" spans="1:8" x14ac:dyDescent="0.25">
      <c r="A88" t="s">
        <v>126</v>
      </c>
      <c r="B88" s="1">
        <v>46122</v>
      </c>
      <c r="C88" s="1">
        <v>46122</v>
      </c>
      <c r="D88" t="s">
        <v>13</v>
      </c>
      <c r="E88">
        <v>50.29</v>
      </c>
      <c r="F88" t="s">
        <v>68</v>
      </c>
      <c r="G88" s="1">
        <v>46113</v>
      </c>
      <c r="H88" t="str" cm="1">
        <f t="array" ref="H88">Categorize(Tx[[#This Row],[Description]])</f>
        <v>Grocery</v>
      </c>
    </row>
    <row r="89" spans="1:8" x14ac:dyDescent="0.25">
      <c r="A89" t="s">
        <v>126</v>
      </c>
      <c r="B89" s="1">
        <v>46121</v>
      </c>
      <c r="C89" s="1">
        <v>46123</v>
      </c>
      <c r="D89" t="s">
        <v>9</v>
      </c>
      <c r="E89">
        <v>25.63</v>
      </c>
      <c r="F89" t="s">
        <v>37</v>
      </c>
      <c r="G89" s="1">
        <v>46113</v>
      </c>
      <c r="H89" t="str" cm="1">
        <f t="array" ref="H89">Categorize(Tx[[#This Row],[Description]])</f>
        <v>Cafe</v>
      </c>
    </row>
    <row r="90" spans="1:8" x14ac:dyDescent="0.25">
      <c r="A90" t="s">
        <v>126</v>
      </c>
      <c r="B90" s="1">
        <v>46121</v>
      </c>
      <c r="C90" s="1">
        <v>46121</v>
      </c>
      <c r="D90" t="s">
        <v>108</v>
      </c>
      <c r="E90">
        <v>25.83</v>
      </c>
      <c r="F90" t="s">
        <v>124</v>
      </c>
      <c r="G90" s="1">
        <v>46113</v>
      </c>
      <c r="H90" t="str" cm="1">
        <f t="array" ref="H90">Categorize(Tx[[#This Row],[Description]])</f>
        <v>Uncategorized</v>
      </c>
    </row>
    <row r="91" spans="1:8" x14ac:dyDescent="0.25">
      <c r="A91" t="s">
        <v>126</v>
      </c>
      <c r="B91" s="1">
        <v>46120</v>
      </c>
      <c r="C91" s="1">
        <v>46122</v>
      </c>
      <c r="D91" t="s">
        <v>12</v>
      </c>
      <c r="E91">
        <v>72.069999999999993</v>
      </c>
      <c r="F91" t="s">
        <v>67</v>
      </c>
      <c r="G91" s="1">
        <v>46113</v>
      </c>
      <c r="H91" t="str" cm="1">
        <f t="array" ref="H91">Categorize(Tx[[#This Row],[Description]])</f>
        <v>Gas</v>
      </c>
    </row>
    <row r="92" spans="1:8" x14ac:dyDescent="0.25">
      <c r="A92" t="s">
        <v>126</v>
      </c>
      <c r="B92" s="1">
        <v>46120</v>
      </c>
      <c r="C92" s="1">
        <v>46120</v>
      </c>
      <c r="D92" t="s">
        <v>97</v>
      </c>
      <c r="E92">
        <v>9.3699999999999992</v>
      </c>
      <c r="F92" t="s">
        <v>29</v>
      </c>
      <c r="G92" s="1">
        <v>46113</v>
      </c>
      <c r="H92" t="str" cm="1">
        <f t="array" ref="H92">Categorize(Tx[[#This Row],[Description]])</f>
        <v>Transit</v>
      </c>
    </row>
    <row r="93" spans="1:8" x14ac:dyDescent="0.25">
      <c r="A93" t="s">
        <v>126</v>
      </c>
      <c r="B93" s="1">
        <v>46118</v>
      </c>
      <c r="C93" s="1">
        <v>46119</v>
      </c>
      <c r="D93" t="s">
        <v>9</v>
      </c>
      <c r="E93">
        <v>19.98</v>
      </c>
      <c r="F93" t="s">
        <v>37</v>
      </c>
      <c r="G93" s="1">
        <v>46113</v>
      </c>
      <c r="H93" t="str" cm="1">
        <f t="array" ref="H93">Categorize(Tx[[#This Row],[Description]])</f>
        <v>Cafe</v>
      </c>
    </row>
    <row r="94" spans="1:8" x14ac:dyDescent="0.25">
      <c r="A94" t="s">
        <v>126</v>
      </c>
      <c r="B94" s="1">
        <v>46118</v>
      </c>
      <c r="C94" s="1">
        <v>46119</v>
      </c>
      <c r="D94" t="s">
        <v>9</v>
      </c>
      <c r="E94">
        <v>17.78</v>
      </c>
      <c r="F94" t="s">
        <v>37</v>
      </c>
      <c r="G94" s="1">
        <v>46113</v>
      </c>
      <c r="H94" t="str" cm="1">
        <f t="array" ref="H94">Categorize(Tx[[#This Row],[Description]])</f>
        <v>Cafe</v>
      </c>
    </row>
    <row r="95" spans="1:8" x14ac:dyDescent="0.25">
      <c r="A95" t="s">
        <v>126</v>
      </c>
      <c r="B95" s="1">
        <v>46118</v>
      </c>
      <c r="C95" s="1">
        <v>46118</v>
      </c>
      <c r="D95" t="s">
        <v>14</v>
      </c>
      <c r="E95">
        <v>13.3</v>
      </c>
      <c r="F95" t="s">
        <v>69</v>
      </c>
      <c r="G95" s="1">
        <v>46113</v>
      </c>
      <c r="H95" t="str" cm="1">
        <f t="array" ref="H95">Categorize(Tx[[#This Row],[Description]])</f>
        <v>Car Share</v>
      </c>
    </row>
    <row r="96" spans="1:8" x14ac:dyDescent="0.25">
      <c r="A96" t="s">
        <v>126</v>
      </c>
      <c r="B96" s="1">
        <v>46117</v>
      </c>
      <c r="C96" s="1">
        <v>46119</v>
      </c>
      <c r="D96" t="s">
        <v>96</v>
      </c>
      <c r="E96">
        <v>4.1500000000000004</v>
      </c>
      <c r="F96" t="s">
        <v>114</v>
      </c>
      <c r="G96" s="1">
        <v>46113</v>
      </c>
      <c r="H96" t="str" cm="1">
        <f t="array" ref="H96">Categorize(Tx[[#This Row],[Description]])</f>
        <v>Cafe</v>
      </c>
    </row>
    <row r="97" spans="1:8" x14ac:dyDescent="0.25">
      <c r="A97" t="s">
        <v>126</v>
      </c>
      <c r="B97" s="1">
        <v>46116</v>
      </c>
      <c r="C97" s="1">
        <v>46117</v>
      </c>
      <c r="D97" t="s">
        <v>95</v>
      </c>
      <c r="E97">
        <v>55.29</v>
      </c>
      <c r="F97" t="s">
        <v>120</v>
      </c>
      <c r="G97" s="1">
        <v>46113</v>
      </c>
      <c r="H97" t="str" cm="1">
        <f t="array" ref="H97">Categorize(Tx[[#This Row],[Description]])</f>
        <v>Grocery</v>
      </c>
    </row>
    <row r="98" spans="1:8" x14ac:dyDescent="0.25">
      <c r="A98" t="s">
        <v>126</v>
      </c>
      <c r="B98" s="1">
        <v>46116</v>
      </c>
      <c r="C98" s="1">
        <v>46118</v>
      </c>
      <c r="D98" t="s">
        <v>100</v>
      </c>
      <c r="E98">
        <v>21.95</v>
      </c>
      <c r="F98" t="s">
        <v>117</v>
      </c>
      <c r="G98" s="1">
        <v>46113</v>
      </c>
      <c r="H98" t="str" cm="1">
        <f t="array" ref="H98">Categorize(Tx[[#This Row],[Description]])</f>
        <v>Dining</v>
      </c>
    </row>
    <row r="99" spans="1:8" x14ac:dyDescent="0.25">
      <c r="A99" t="s">
        <v>126</v>
      </c>
      <c r="B99" s="1">
        <v>46115</v>
      </c>
      <c r="C99" s="1">
        <v>46116</v>
      </c>
      <c r="D99" t="s">
        <v>102</v>
      </c>
      <c r="E99">
        <v>80.349999999999994</v>
      </c>
      <c r="F99" t="s">
        <v>116</v>
      </c>
      <c r="G99" s="1">
        <v>46113</v>
      </c>
      <c r="H99" t="str" cm="1">
        <f t="array" ref="H99">Categorize(Tx[[#This Row],[Description]])</f>
        <v>Grocery</v>
      </c>
    </row>
    <row r="100" spans="1:8" x14ac:dyDescent="0.25">
      <c r="A100" t="s">
        <v>126</v>
      </c>
      <c r="B100" s="1">
        <v>46114</v>
      </c>
      <c r="C100" s="1">
        <v>46115</v>
      </c>
      <c r="D100" t="s">
        <v>94</v>
      </c>
      <c r="E100">
        <v>7.05</v>
      </c>
      <c r="F100" t="s">
        <v>122</v>
      </c>
      <c r="G100" s="1">
        <v>46113</v>
      </c>
      <c r="H100" t="str" cm="1">
        <f t="array" ref="H100">Categorize(Tx[[#This Row],[Description]])</f>
        <v>Cafe</v>
      </c>
    </row>
    <row r="101" spans="1:8" x14ac:dyDescent="0.25">
      <c r="A101" t="s">
        <v>126</v>
      </c>
      <c r="B101" s="1">
        <v>46114</v>
      </c>
      <c r="C101" s="1">
        <v>46115</v>
      </c>
      <c r="D101" t="s">
        <v>94</v>
      </c>
      <c r="E101">
        <v>6.09</v>
      </c>
      <c r="F101" t="s">
        <v>122</v>
      </c>
      <c r="G101" s="1">
        <v>46113</v>
      </c>
      <c r="H101" t="str" cm="1">
        <f t="array" ref="H101">Categorize(Tx[[#This Row],[Description]])</f>
        <v>Cafe</v>
      </c>
    </row>
    <row r="102" spans="1:8" x14ac:dyDescent="0.25">
      <c r="A102" t="s">
        <v>126</v>
      </c>
      <c r="B102" s="1">
        <v>46114</v>
      </c>
      <c r="C102" s="1">
        <v>46114</v>
      </c>
      <c r="D102" t="s">
        <v>109</v>
      </c>
      <c r="E102">
        <v>37.369999999999997</v>
      </c>
      <c r="F102" t="s">
        <v>127</v>
      </c>
      <c r="G102" s="1">
        <v>46113</v>
      </c>
      <c r="H102" t="str" cm="1">
        <f t="array" ref="H102">Categorize(Tx[[#This Row],[Description]])</f>
        <v>Uncategorized</v>
      </c>
    </row>
    <row r="103" spans="1:8" x14ac:dyDescent="0.25">
      <c r="A103" t="s">
        <v>126</v>
      </c>
      <c r="B103" s="1">
        <v>46113</v>
      </c>
      <c r="C103" s="1">
        <v>46113</v>
      </c>
      <c r="D103" t="s">
        <v>95</v>
      </c>
      <c r="E103">
        <v>27.03</v>
      </c>
      <c r="F103" t="s">
        <v>120</v>
      </c>
      <c r="G103" s="1">
        <v>46113</v>
      </c>
      <c r="H103" t="str" cm="1">
        <f t="array" ref="H103">Categorize(Tx[[#This Row],[Description]])</f>
        <v>Grocery</v>
      </c>
    </row>
    <row r="104" spans="1:8" x14ac:dyDescent="0.25">
      <c r="A104" t="s">
        <v>128</v>
      </c>
      <c r="B104" s="1">
        <v>46173</v>
      </c>
      <c r="C104" s="1">
        <v>46173</v>
      </c>
      <c r="D104" t="s">
        <v>95</v>
      </c>
      <c r="E104">
        <v>42.59</v>
      </c>
      <c r="F104" t="s">
        <v>120</v>
      </c>
      <c r="G104" s="1">
        <v>46143</v>
      </c>
      <c r="H104" t="str" cm="1">
        <f t="array" ref="H104">Categorize(Tx[[#This Row],[Description]])</f>
        <v>Grocery</v>
      </c>
    </row>
    <row r="105" spans="1:8" x14ac:dyDescent="0.25">
      <c r="A105" t="s">
        <v>128</v>
      </c>
      <c r="B105" s="1">
        <v>46173</v>
      </c>
      <c r="C105" s="1">
        <v>46174</v>
      </c>
      <c r="D105" t="s">
        <v>12</v>
      </c>
      <c r="E105">
        <v>79.400000000000006</v>
      </c>
      <c r="F105" t="s">
        <v>67</v>
      </c>
      <c r="G105" s="1">
        <v>46143</v>
      </c>
      <c r="H105" t="str" cm="1">
        <f t="array" ref="H105">Categorize(Tx[[#This Row],[Description]])</f>
        <v>Gas</v>
      </c>
    </row>
    <row r="106" spans="1:8" x14ac:dyDescent="0.25">
      <c r="A106" t="s">
        <v>128</v>
      </c>
      <c r="B106" s="1">
        <v>46172</v>
      </c>
      <c r="C106" s="1">
        <v>46172</v>
      </c>
      <c r="D106" t="s">
        <v>17</v>
      </c>
      <c r="E106">
        <v>8.2100000000000009</v>
      </c>
      <c r="F106" t="s">
        <v>73</v>
      </c>
      <c r="G106" s="1">
        <v>46143</v>
      </c>
      <c r="H106" t="str" cm="1">
        <f t="array" ref="H106">Categorize(Tx[[#This Row],[Description]])</f>
        <v>Parking</v>
      </c>
    </row>
    <row r="107" spans="1:8" x14ac:dyDescent="0.25">
      <c r="A107" t="s">
        <v>128</v>
      </c>
      <c r="B107" s="1">
        <v>46172</v>
      </c>
      <c r="C107" s="1">
        <v>46173</v>
      </c>
      <c r="D107" t="s">
        <v>7</v>
      </c>
      <c r="E107">
        <v>93.28</v>
      </c>
      <c r="F107" t="s">
        <v>63</v>
      </c>
      <c r="G107" s="1">
        <v>46143</v>
      </c>
      <c r="H107" t="str" cm="1">
        <f t="array" ref="H107">Categorize(Tx[[#This Row],[Description]])</f>
        <v>Home</v>
      </c>
    </row>
    <row r="108" spans="1:8" x14ac:dyDescent="0.25">
      <c r="A108" t="s">
        <v>128</v>
      </c>
      <c r="B108" s="1">
        <v>46172</v>
      </c>
      <c r="C108" s="1">
        <v>46173</v>
      </c>
      <c r="D108" t="s">
        <v>99</v>
      </c>
      <c r="E108">
        <v>18.190000000000001</v>
      </c>
      <c r="F108" t="s">
        <v>123</v>
      </c>
      <c r="G108" s="1">
        <v>46143</v>
      </c>
      <c r="H108" t="str" cm="1">
        <f t="array" ref="H108">Categorize(Tx[[#This Row],[Description]])</f>
        <v>Personal Care</v>
      </c>
    </row>
    <row r="109" spans="1:8" x14ac:dyDescent="0.25">
      <c r="A109" t="s">
        <v>128</v>
      </c>
      <c r="B109" s="1">
        <v>46172</v>
      </c>
      <c r="C109" s="1">
        <v>46173</v>
      </c>
      <c r="D109" t="s">
        <v>109</v>
      </c>
      <c r="E109">
        <v>19.23</v>
      </c>
      <c r="F109" t="s">
        <v>127</v>
      </c>
      <c r="G109" s="1">
        <v>46143</v>
      </c>
      <c r="H109" t="str" cm="1">
        <f t="array" ref="H109">Categorize(Tx[[#This Row],[Description]])</f>
        <v>Uncategorized</v>
      </c>
    </row>
    <row r="110" spans="1:8" x14ac:dyDescent="0.25">
      <c r="A110" t="s">
        <v>128</v>
      </c>
      <c r="B110" s="1">
        <v>46172</v>
      </c>
      <c r="C110" s="1">
        <v>46173</v>
      </c>
      <c r="D110" t="s">
        <v>106</v>
      </c>
      <c r="E110">
        <v>26.18</v>
      </c>
      <c r="F110" t="s">
        <v>125</v>
      </c>
      <c r="G110" s="1">
        <v>46143</v>
      </c>
      <c r="H110" t="str" cm="1">
        <f t="array" ref="H110">Categorize(Tx[[#This Row],[Description]])</f>
        <v>Uncategorized</v>
      </c>
    </row>
    <row r="111" spans="1:8" x14ac:dyDescent="0.25">
      <c r="A111" t="s">
        <v>128</v>
      </c>
      <c r="B111" s="1">
        <v>46171</v>
      </c>
      <c r="C111" s="1">
        <v>46171</v>
      </c>
      <c r="D111" t="s">
        <v>17</v>
      </c>
      <c r="E111">
        <v>7.35</v>
      </c>
      <c r="F111" t="s">
        <v>73</v>
      </c>
      <c r="G111" s="1">
        <v>46143</v>
      </c>
      <c r="H111" t="str" cm="1">
        <f t="array" ref="H111">Categorize(Tx[[#This Row],[Description]])</f>
        <v>Parking</v>
      </c>
    </row>
    <row r="112" spans="1:8" x14ac:dyDescent="0.25">
      <c r="A112" t="s">
        <v>128</v>
      </c>
      <c r="B112" s="1">
        <v>46169</v>
      </c>
      <c r="C112" s="1">
        <v>46170</v>
      </c>
      <c r="D112" t="s">
        <v>102</v>
      </c>
      <c r="E112">
        <v>50.83</v>
      </c>
      <c r="F112" t="s">
        <v>116</v>
      </c>
      <c r="G112" s="1">
        <v>46143</v>
      </c>
      <c r="H112" t="str" cm="1">
        <f t="array" ref="H112">Categorize(Tx[[#This Row],[Description]])</f>
        <v>Grocery</v>
      </c>
    </row>
    <row r="113" spans="1:8" x14ac:dyDescent="0.25">
      <c r="A113" t="s">
        <v>128</v>
      </c>
      <c r="B113" s="1">
        <v>46169</v>
      </c>
      <c r="C113" s="1">
        <v>46169</v>
      </c>
      <c r="D113" t="s">
        <v>20</v>
      </c>
      <c r="E113">
        <v>52.56</v>
      </c>
      <c r="F113" t="s">
        <v>20</v>
      </c>
      <c r="G113" s="1">
        <v>46143</v>
      </c>
      <c r="H113" t="str" cm="1">
        <f t="array" ref="H113">Categorize(Tx[[#This Row],[Description]])</f>
        <v>Hobby</v>
      </c>
    </row>
    <row r="114" spans="1:8" x14ac:dyDescent="0.25">
      <c r="A114" t="s">
        <v>128</v>
      </c>
      <c r="B114" s="1">
        <v>46168</v>
      </c>
      <c r="C114" s="1">
        <v>46168</v>
      </c>
      <c r="D114" t="s">
        <v>94</v>
      </c>
      <c r="E114">
        <v>8.24</v>
      </c>
      <c r="F114" t="s">
        <v>122</v>
      </c>
      <c r="G114" s="1">
        <v>46143</v>
      </c>
      <c r="H114" t="str" cm="1">
        <f t="array" ref="H114">Categorize(Tx[[#This Row],[Description]])</f>
        <v>Cafe</v>
      </c>
    </row>
    <row r="115" spans="1:8" x14ac:dyDescent="0.25">
      <c r="A115" t="s">
        <v>128</v>
      </c>
      <c r="B115" s="1">
        <v>46168</v>
      </c>
      <c r="C115" s="1">
        <v>46169</v>
      </c>
      <c r="D115" t="s">
        <v>16</v>
      </c>
      <c r="E115">
        <v>30.3</v>
      </c>
      <c r="F115" t="s">
        <v>72</v>
      </c>
      <c r="G115" s="1">
        <v>46143</v>
      </c>
      <c r="H115" t="str" cm="1">
        <f t="array" ref="H115">Categorize(Tx[[#This Row],[Description]])</f>
        <v>Dining</v>
      </c>
    </row>
    <row r="116" spans="1:8" x14ac:dyDescent="0.25">
      <c r="A116" t="s">
        <v>128</v>
      </c>
      <c r="B116" s="1">
        <v>46168</v>
      </c>
      <c r="C116" s="1">
        <v>46169</v>
      </c>
      <c r="D116" t="s">
        <v>97</v>
      </c>
      <c r="E116">
        <v>20.98</v>
      </c>
      <c r="F116" t="s">
        <v>29</v>
      </c>
      <c r="G116" s="1">
        <v>46143</v>
      </c>
      <c r="H116" t="str" cm="1">
        <f t="array" ref="H116">Categorize(Tx[[#This Row],[Description]])</f>
        <v>Transit</v>
      </c>
    </row>
    <row r="117" spans="1:8" x14ac:dyDescent="0.25">
      <c r="A117" t="s">
        <v>128</v>
      </c>
      <c r="B117" s="1">
        <v>46167</v>
      </c>
      <c r="C117" s="1">
        <v>46168</v>
      </c>
      <c r="D117" t="s">
        <v>18</v>
      </c>
      <c r="E117">
        <v>70.28</v>
      </c>
      <c r="F117" t="s">
        <v>76</v>
      </c>
      <c r="G117" s="1">
        <v>46143</v>
      </c>
      <c r="H117" t="str" cm="1">
        <f t="array" ref="H117">Categorize(Tx[[#This Row],[Description]])</f>
        <v>Gas</v>
      </c>
    </row>
    <row r="118" spans="1:8" x14ac:dyDescent="0.25">
      <c r="A118" t="s">
        <v>128</v>
      </c>
      <c r="B118" s="1">
        <v>46167</v>
      </c>
      <c r="C118" s="1">
        <v>46168</v>
      </c>
      <c r="D118" t="s">
        <v>97</v>
      </c>
      <c r="E118">
        <v>24.57</v>
      </c>
      <c r="F118" t="s">
        <v>29</v>
      </c>
      <c r="G118" s="1">
        <v>46143</v>
      </c>
      <c r="H118" t="str" cm="1">
        <f t="array" ref="H118">Categorize(Tx[[#This Row],[Description]])</f>
        <v>Transit</v>
      </c>
    </row>
    <row r="119" spans="1:8" x14ac:dyDescent="0.25">
      <c r="A119" t="s">
        <v>128</v>
      </c>
      <c r="B119" s="1">
        <v>46166</v>
      </c>
      <c r="C119" s="1">
        <v>46166</v>
      </c>
      <c r="D119" t="s">
        <v>98</v>
      </c>
      <c r="E119">
        <v>34.01</v>
      </c>
      <c r="F119" t="s">
        <v>121</v>
      </c>
      <c r="G119" s="1">
        <v>46143</v>
      </c>
      <c r="H119" t="str" cm="1">
        <f t="array" ref="H119">Categorize(Tx[[#This Row],[Description]])</f>
        <v>Grocery</v>
      </c>
    </row>
    <row r="120" spans="1:8" x14ac:dyDescent="0.25">
      <c r="A120" t="s">
        <v>128</v>
      </c>
      <c r="B120" s="1">
        <v>46165</v>
      </c>
      <c r="C120" s="1">
        <v>46166</v>
      </c>
      <c r="D120" t="s">
        <v>12</v>
      </c>
      <c r="E120">
        <v>43.62</v>
      </c>
      <c r="F120" t="s">
        <v>67</v>
      </c>
      <c r="G120" s="1">
        <v>46143</v>
      </c>
      <c r="H120" t="str" cm="1">
        <f t="array" ref="H120">Categorize(Tx[[#This Row],[Description]])</f>
        <v>Gas</v>
      </c>
    </row>
    <row r="121" spans="1:8" x14ac:dyDescent="0.25">
      <c r="A121" t="s">
        <v>128</v>
      </c>
      <c r="B121" s="1">
        <v>46164</v>
      </c>
      <c r="C121" s="1">
        <v>46164</v>
      </c>
      <c r="D121" t="s">
        <v>17</v>
      </c>
      <c r="E121">
        <v>7.66</v>
      </c>
      <c r="F121" t="s">
        <v>73</v>
      </c>
      <c r="G121" s="1">
        <v>46143</v>
      </c>
      <c r="H121" t="str" cm="1">
        <f t="array" ref="H121">Categorize(Tx[[#This Row],[Description]])</f>
        <v>Parking</v>
      </c>
    </row>
    <row r="122" spans="1:8" x14ac:dyDescent="0.25">
      <c r="A122" t="s">
        <v>128</v>
      </c>
      <c r="B122" s="1">
        <v>46163</v>
      </c>
      <c r="C122" s="1">
        <v>46163</v>
      </c>
      <c r="D122" t="s">
        <v>8</v>
      </c>
      <c r="E122">
        <v>64.680000000000007</v>
      </c>
      <c r="F122" t="s">
        <v>64</v>
      </c>
      <c r="G122" s="1">
        <v>46143</v>
      </c>
      <c r="H122" t="str" cm="1">
        <f t="array" ref="H122">Categorize(Tx[[#This Row],[Description]])</f>
        <v>Grocery</v>
      </c>
    </row>
    <row r="123" spans="1:8" x14ac:dyDescent="0.25">
      <c r="A123" t="s">
        <v>128</v>
      </c>
      <c r="B123" s="1">
        <v>46163</v>
      </c>
      <c r="C123" s="1">
        <v>46163</v>
      </c>
      <c r="D123" t="s">
        <v>94</v>
      </c>
      <c r="E123">
        <v>7.89</v>
      </c>
      <c r="F123" t="s">
        <v>122</v>
      </c>
      <c r="G123" s="1">
        <v>46143</v>
      </c>
      <c r="H123" t="str" cm="1">
        <f t="array" ref="H123">Categorize(Tx[[#This Row],[Description]])</f>
        <v>Cafe</v>
      </c>
    </row>
    <row r="124" spans="1:8" x14ac:dyDescent="0.25">
      <c r="A124" t="s">
        <v>128</v>
      </c>
      <c r="B124" s="1">
        <v>46163</v>
      </c>
      <c r="C124" s="1">
        <v>46163</v>
      </c>
      <c r="D124" t="s">
        <v>96</v>
      </c>
      <c r="E124">
        <v>6.17</v>
      </c>
      <c r="F124" t="s">
        <v>114</v>
      </c>
      <c r="G124" s="1">
        <v>46143</v>
      </c>
      <c r="H124" t="str" cm="1">
        <f t="array" ref="H124">Categorize(Tx[[#This Row],[Description]])</f>
        <v>Cafe</v>
      </c>
    </row>
    <row r="125" spans="1:8" x14ac:dyDescent="0.25">
      <c r="A125" t="s">
        <v>128</v>
      </c>
      <c r="B125" s="1">
        <v>46163</v>
      </c>
      <c r="C125" s="1">
        <v>46163</v>
      </c>
      <c r="D125" t="s">
        <v>5</v>
      </c>
      <c r="E125">
        <v>15.99</v>
      </c>
      <c r="F125" t="s">
        <v>5</v>
      </c>
      <c r="G125" s="1">
        <v>46143</v>
      </c>
      <c r="H125" t="str" cm="1">
        <f t="array" ref="H125">Categorize(Tx[[#This Row],[Description]])</f>
        <v>Fees</v>
      </c>
    </row>
    <row r="126" spans="1:8" x14ac:dyDescent="0.25">
      <c r="A126" t="s">
        <v>128</v>
      </c>
      <c r="B126" s="1">
        <v>46162</v>
      </c>
      <c r="C126" s="1">
        <v>46162</v>
      </c>
      <c r="D126" t="s">
        <v>95</v>
      </c>
      <c r="E126">
        <v>26.29</v>
      </c>
      <c r="F126" t="s">
        <v>120</v>
      </c>
      <c r="G126" s="1">
        <v>46143</v>
      </c>
      <c r="H126" t="str" cm="1">
        <f t="array" ref="H126">Categorize(Tx[[#This Row],[Description]])</f>
        <v>Grocery</v>
      </c>
    </row>
    <row r="127" spans="1:8" x14ac:dyDescent="0.25">
      <c r="A127" t="s">
        <v>128</v>
      </c>
      <c r="B127" s="1">
        <v>46162</v>
      </c>
      <c r="C127" s="1">
        <v>46162</v>
      </c>
      <c r="D127" t="s">
        <v>14</v>
      </c>
      <c r="E127">
        <v>21.71</v>
      </c>
      <c r="F127" t="s">
        <v>69</v>
      </c>
      <c r="G127" s="1">
        <v>46143</v>
      </c>
      <c r="H127" t="str" cm="1">
        <f t="array" ref="H127">Categorize(Tx[[#This Row],[Description]])</f>
        <v>Car Share</v>
      </c>
    </row>
    <row r="128" spans="1:8" x14ac:dyDescent="0.25">
      <c r="A128" t="s">
        <v>128</v>
      </c>
      <c r="B128" s="1">
        <v>46162</v>
      </c>
      <c r="C128" s="1">
        <v>46164</v>
      </c>
      <c r="D128" t="s">
        <v>6</v>
      </c>
      <c r="E128">
        <v>28</v>
      </c>
      <c r="F128" t="s">
        <v>62</v>
      </c>
      <c r="G128" s="1">
        <v>46143</v>
      </c>
      <c r="H128" t="str" cm="1">
        <f t="array" ref="H128">Categorize(Tx[[#This Row],[Description]])</f>
        <v>Subscription</v>
      </c>
    </row>
    <row r="129" spans="1:8" x14ac:dyDescent="0.25">
      <c r="A129" t="s">
        <v>128</v>
      </c>
      <c r="B129" s="1">
        <v>46161</v>
      </c>
      <c r="C129" s="1">
        <v>46161</v>
      </c>
      <c r="D129" t="s">
        <v>8</v>
      </c>
      <c r="E129">
        <v>62.31</v>
      </c>
      <c r="F129" t="s">
        <v>64</v>
      </c>
      <c r="G129" s="1">
        <v>46143</v>
      </c>
      <c r="H129" t="str" cm="1">
        <f t="array" ref="H129">Categorize(Tx[[#This Row],[Description]])</f>
        <v>Grocery</v>
      </c>
    </row>
    <row r="130" spans="1:8" x14ac:dyDescent="0.25">
      <c r="A130" t="s">
        <v>128</v>
      </c>
      <c r="B130" s="1">
        <v>46160</v>
      </c>
      <c r="C130" s="1">
        <v>46161</v>
      </c>
      <c r="D130" t="s">
        <v>95</v>
      </c>
      <c r="E130">
        <v>28.24</v>
      </c>
      <c r="F130" t="s">
        <v>120</v>
      </c>
      <c r="G130" s="1">
        <v>46143</v>
      </c>
      <c r="H130" t="str" cm="1">
        <f t="array" ref="H130">Categorize(Tx[[#This Row],[Description]])</f>
        <v>Grocery</v>
      </c>
    </row>
    <row r="131" spans="1:8" x14ac:dyDescent="0.25">
      <c r="A131" t="s">
        <v>128</v>
      </c>
      <c r="B131" s="1">
        <v>46160</v>
      </c>
      <c r="C131" s="1">
        <v>46160</v>
      </c>
      <c r="D131" t="s">
        <v>107</v>
      </c>
      <c r="E131">
        <v>17.03</v>
      </c>
      <c r="F131" t="s">
        <v>40</v>
      </c>
      <c r="G131" s="1">
        <v>46143</v>
      </c>
      <c r="H131" t="str" cm="1">
        <f t="array" ref="H131">Categorize(Tx[[#This Row],[Description]])</f>
        <v>Online Shopping</v>
      </c>
    </row>
    <row r="132" spans="1:8" x14ac:dyDescent="0.25">
      <c r="A132" t="s">
        <v>128</v>
      </c>
      <c r="B132" s="1">
        <v>46160</v>
      </c>
      <c r="C132" s="1">
        <v>46162</v>
      </c>
      <c r="D132" t="s">
        <v>104</v>
      </c>
      <c r="E132">
        <v>32.909999999999997</v>
      </c>
      <c r="F132" t="s">
        <v>75</v>
      </c>
      <c r="G132" s="1">
        <v>46143</v>
      </c>
      <c r="H132" t="str" cm="1">
        <f t="array" ref="H132">Categorize(Tx[[#This Row],[Description]])</f>
        <v>Entertainment</v>
      </c>
    </row>
    <row r="133" spans="1:8" x14ac:dyDescent="0.25">
      <c r="A133" t="s">
        <v>128</v>
      </c>
      <c r="B133" s="1">
        <v>46159</v>
      </c>
      <c r="C133" s="1">
        <v>46161</v>
      </c>
      <c r="D133" t="s">
        <v>16</v>
      </c>
      <c r="E133">
        <v>29.55</v>
      </c>
      <c r="F133" t="s">
        <v>72</v>
      </c>
      <c r="G133" s="1">
        <v>46143</v>
      </c>
      <c r="H133" t="str" cm="1">
        <f t="array" ref="H133">Categorize(Tx[[#This Row],[Description]])</f>
        <v>Dining</v>
      </c>
    </row>
    <row r="134" spans="1:8" x14ac:dyDescent="0.25">
      <c r="A134" t="s">
        <v>128</v>
      </c>
      <c r="B134" s="1">
        <v>46159</v>
      </c>
      <c r="C134" s="1">
        <v>46160</v>
      </c>
      <c r="D134" t="s">
        <v>14</v>
      </c>
      <c r="E134">
        <v>10.53</v>
      </c>
      <c r="F134" t="s">
        <v>69</v>
      </c>
      <c r="G134" s="1">
        <v>46143</v>
      </c>
      <c r="H134" t="str" cm="1">
        <f t="array" ref="H134">Categorize(Tx[[#This Row],[Description]])</f>
        <v>Car Share</v>
      </c>
    </row>
    <row r="135" spans="1:8" x14ac:dyDescent="0.25">
      <c r="A135" t="s">
        <v>128</v>
      </c>
      <c r="B135" s="1">
        <v>46158</v>
      </c>
      <c r="C135" s="1">
        <v>46160</v>
      </c>
      <c r="D135" t="s">
        <v>12</v>
      </c>
      <c r="E135">
        <v>50.2</v>
      </c>
      <c r="F135" t="s">
        <v>67</v>
      </c>
      <c r="G135" s="1">
        <v>46143</v>
      </c>
      <c r="H135" t="str" cm="1">
        <f t="array" ref="H135">Categorize(Tx[[#This Row],[Description]])</f>
        <v>Gas</v>
      </c>
    </row>
    <row r="136" spans="1:8" x14ac:dyDescent="0.25">
      <c r="A136" t="s">
        <v>128</v>
      </c>
      <c r="B136" s="1">
        <v>46157</v>
      </c>
      <c r="C136" s="1">
        <v>46158</v>
      </c>
      <c r="D136" t="s">
        <v>94</v>
      </c>
      <c r="E136">
        <v>10.07</v>
      </c>
      <c r="F136" t="s">
        <v>122</v>
      </c>
      <c r="G136" s="1">
        <v>46143</v>
      </c>
      <c r="H136" t="str" cm="1">
        <f t="array" ref="H136">Categorize(Tx[[#This Row],[Description]])</f>
        <v>Cafe</v>
      </c>
    </row>
    <row r="137" spans="1:8" x14ac:dyDescent="0.25">
      <c r="A137" t="s">
        <v>128</v>
      </c>
      <c r="B137" s="1">
        <v>46156</v>
      </c>
      <c r="C137" s="1">
        <v>46157</v>
      </c>
      <c r="D137" t="s">
        <v>9</v>
      </c>
      <c r="E137">
        <v>26.87</v>
      </c>
      <c r="F137" t="s">
        <v>37</v>
      </c>
      <c r="G137" s="1">
        <v>46143</v>
      </c>
      <c r="H137" t="str" cm="1">
        <f t="array" ref="H137">Categorize(Tx[[#This Row],[Description]])</f>
        <v>Cafe</v>
      </c>
    </row>
    <row r="138" spans="1:8" x14ac:dyDescent="0.25">
      <c r="A138" t="s">
        <v>128</v>
      </c>
      <c r="B138" s="1">
        <v>46156</v>
      </c>
      <c r="C138" s="1">
        <v>46158</v>
      </c>
      <c r="D138" t="s">
        <v>18</v>
      </c>
      <c r="E138">
        <v>63.83</v>
      </c>
      <c r="F138" t="s">
        <v>76</v>
      </c>
      <c r="G138" s="1">
        <v>46143</v>
      </c>
      <c r="H138" t="str" cm="1">
        <f t="array" ref="H138">Categorize(Tx[[#This Row],[Description]])</f>
        <v>Gas</v>
      </c>
    </row>
    <row r="139" spans="1:8" x14ac:dyDescent="0.25">
      <c r="A139" t="s">
        <v>128</v>
      </c>
      <c r="B139" s="1">
        <v>46156</v>
      </c>
      <c r="C139" s="1">
        <v>46156</v>
      </c>
      <c r="D139" t="s">
        <v>10</v>
      </c>
      <c r="E139">
        <v>79.22</v>
      </c>
      <c r="F139" t="s">
        <v>65</v>
      </c>
      <c r="G139" s="1">
        <v>46143</v>
      </c>
      <c r="H139" t="str" cm="1">
        <f t="array" ref="H139">Categorize(Tx[[#This Row],[Description]])</f>
        <v>Insurance</v>
      </c>
    </row>
    <row r="140" spans="1:8" x14ac:dyDescent="0.25">
      <c r="A140" t="s">
        <v>128</v>
      </c>
      <c r="B140" s="1">
        <v>46154</v>
      </c>
      <c r="C140" s="1">
        <v>46155</v>
      </c>
      <c r="D140" t="s">
        <v>96</v>
      </c>
      <c r="E140">
        <v>8.75</v>
      </c>
      <c r="F140" t="s">
        <v>114</v>
      </c>
      <c r="G140" s="1">
        <v>46143</v>
      </c>
      <c r="H140" t="str" cm="1">
        <f t="array" ref="H140">Categorize(Tx[[#This Row],[Description]])</f>
        <v>Cafe</v>
      </c>
    </row>
    <row r="141" spans="1:8" x14ac:dyDescent="0.25">
      <c r="A141" t="s">
        <v>128</v>
      </c>
      <c r="B141" s="1">
        <v>46152</v>
      </c>
      <c r="C141" s="1">
        <v>46154</v>
      </c>
      <c r="D141" t="s">
        <v>100</v>
      </c>
      <c r="E141">
        <v>15.52</v>
      </c>
      <c r="F141" t="s">
        <v>117</v>
      </c>
      <c r="G141" s="1">
        <v>46143</v>
      </c>
      <c r="H141" t="str" cm="1">
        <f t="array" ref="H141">Categorize(Tx[[#This Row],[Description]])</f>
        <v>Dining</v>
      </c>
    </row>
    <row r="142" spans="1:8" x14ac:dyDescent="0.25">
      <c r="A142" t="s">
        <v>128</v>
      </c>
      <c r="B142" s="1">
        <v>46151</v>
      </c>
      <c r="C142" s="1">
        <v>46152</v>
      </c>
      <c r="D142" t="s">
        <v>102</v>
      </c>
      <c r="E142">
        <v>101.46</v>
      </c>
      <c r="F142" t="s">
        <v>116</v>
      </c>
      <c r="G142" s="1">
        <v>46143</v>
      </c>
      <c r="H142" t="str" cm="1">
        <f t="array" ref="H142">Categorize(Tx[[#This Row],[Description]])</f>
        <v>Grocery</v>
      </c>
    </row>
    <row r="143" spans="1:8" x14ac:dyDescent="0.25">
      <c r="A143" t="s">
        <v>128</v>
      </c>
      <c r="B143" s="1">
        <v>46151</v>
      </c>
      <c r="C143" s="1">
        <v>46152</v>
      </c>
      <c r="D143" t="s">
        <v>96</v>
      </c>
      <c r="E143">
        <v>7.8</v>
      </c>
      <c r="F143" t="s">
        <v>114</v>
      </c>
      <c r="G143" s="1">
        <v>46143</v>
      </c>
      <c r="H143" t="str" cm="1">
        <f t="array" ref="H143">Categorize(Tx[[#This Row],[Description]])</f>
        <v>Cafe</v>
      </c>
    </row>
    <row r="144" spans="1:8" x14ac:dyDescent="0.25">
      <c r="A144" t="s">
        <v>128</v>
      </c>
      <c r="B144" s="1">
        <v>46151</v>
      </c>
      <c r="C144" s="1">
        <v>46153</v>
      </c>
      <c r="D144" t="s">
        <v>9</v>
      </c>
      <c r="E144">
        <v>27.84</v>
      </c>
      <c r="F144" t="s">
        <v>37</v>
      </c>
      <c r="G144" s="1">
        <v>46143</v>
      </c>
      <c r="H144" t="str" cm="1">
        <f t="array" ref="H144">Categorize(Tx[[#This Row],[Description]])</f>
        <v>Cafe</v>
      </c>
    </row>
    <row r="145" spans="1:8" x14ac:dyDescent="0.25">
      <c r="A145" t="s">
        <v>128</v>
      </c>
      <c r="B145" s="1">
        <v>46151</v>
      </c>
      <c r="C145" s="1">
        <v>46151</v>
      </c>
      <c r="D145" t="s">
        <v>101</v>
      </c>
      <c r="E145">
        <v>16.829999999999998</v>
      </c>
      <c r="F145" t="s">
        <v>119</v>
      </c>
      <c r="G145" s="1">
        <v>46143</v>
      </c>
      <c r="H145" t="str" cm="1">
        <f t="array" ref="H145">Categorize(Tx[[#This Row],[Description]])</f>
        <v>Parking</v>
      </c>
    </row>
    <row r="146" spans="1:8" x14ac:dyDescent="0.25">
      <c r="A146" t="s">
        <v>128</v>
      </c>
      <c r="B146" s="1">
        <v>46150</v>
      </c>
      <c r="C146" s="1">
        <v>46151</v>
      </c>
      <c r="D146" t="s">
        <v>95</v>
      </c>
      <c r="E146">
        <v>88.47</v>
      </c>
      <c r="F146" t="s">
        <v>120</v>
      </c>
      <c r="G146" s="1">
        <v>46143</v>
      </c>
      <c r="H146" t="str" cm="1">
        <f t="array" ref="H146">Categorize(Tx[[#This Row],[Description]])</f>
        <v>Grocery</v>
      </c>
    </row>
    <row r="147" spans="1:8" x14ac:dyDescent="0.25">
      <c r="A147" t="s">
        <v>128</v>
      </c>
      <c r="B147" s="1">
        <v>46150</v>
      </c>
      <c r="C147" s="1">
        <v>46152</v>
      </c>
      <c r="D147" t="s">
        <v>13</v>
      </c>
      <c r="E147">
        <v>51.23</v>
      </c>
      <c r="F147" t="s">
        <v>68</v>
      </c>
      <c r="G147" s="1">
        <v>46143</v>
      </c>
      <c r="H147" t="str" cm="1">
        <f t="array" ref="H147">Categorize(Tx[[#This Row],[Description]])</f>
        <v>Grocery</v>
      </c>
    </row>
    <row r="148" spans="1:8" x14ac:dyDescent="0.25">
      <c r="A148" t="s">
        <v>128</v>
      </c>
      <c r="B148" s="1">
        <v>46148</v>
      </c>
      <c r="C148" s="1">
        <v>46149</v>
      </c>
      <c r="D148" t="s">
        <v>97</v>
      </c>
      <c r="E148">
        <v>11.72</v>
      </c>
      <c r="F148" t="s">
        <v>29</v>
      </c>
      <c r="G148" s="1">
        <v>46143</v>
      </c>
      <c r="H148" t="str" cm="1">
        <f t="array" ref="H148">Categorize(Tx[[#This Row],[Description]])</f>
        <v>Transit</v>
      </c>
    </row>
    <row r="149" spans="1:8" x14ac:dyDescent="0.25">
      <c r="A149" t="s">
        <v>128</v>
      </c>
      <c r="B149" s="1">
        <v>46146</v>
      </c>
      <c r="C149" s="1">
        <v>46146</v>
      </c>
      <c r="D149" t="s">
        <v>11</v>
      </c>
      <c r="E149">
        <v>14.36</v>
      </c>
      <c r="F149" t="s">
        <v>66</v>
      </c>
      <c r="G149" s="1">
        <v>46143</v>
      </c>
      <c r="H149" t="str" cm="1">
        <f t="array" ref="H149">Categorize(Tx[[#This Row],[Description]])</f>
        <v>Car Share</v>
      </c>
    </row>
    <row r="150" spans="1:8" x14ac:dyDescent="0.25">
      <c r="A150" t="s">
        <v>128</v>
      </c>
      <c r="B150" s="1">
        <v>46145</v>
      </c>
      <c r="C150" s="1">
        <v>46145</v>
      </c>
      <c r="D150" t="s">
        <v>13</v>
      </c>
      <c r="E150">
        <v>39.35</v>
      </c>
      <c r="F150" t="s">
        <v>68</v>
      </c>
      <c r="G150" s="1">
        <v>46143</v>
      </c>
      <c r="H150" t="str" cm="1">
        <f t="array" ref="H150">Categorize(Tx[[#This Row],[Description]])</f>
        <v>Grocery</v>
      </c>
    </row>
    <row r="151" spans="1:8" x14ac:dyDescent="0.25">
      <c r="A151" t="s">
        <v>128</v>
      </c>
      <c r="B151" s="1">
        <v>46145</v>
      </c>
      <c r="C151" s="1">
        <v>46145</v>
      </c>
      <c r="D151" t="s">
        <v>96</v>
      </c>
      <c r="E151">
        <v>8.39</v>
      </c>
      <c r="F151" t="s">
        <v>114</v>
      </c>
      <c r="G151" s="1">
        <v>46143</v>
      </c>
      <c r="H151" t="str" cm="1">
        <f t="array" ref="H151">Categorize(Tx[[#This Row],[Description]])</f>
        <v>Cafe</v>
      </c>
    </row>
    <row r="152" spans="1:8" x14ac:dyDescent="0.25">
      <c r="A152" t="s">
        <v>128</v>
      </c>
      <c r="B152" s="1">
        <v>46145</v>
      </c>
      <c r="C152" s="1">
        <v>46146</v>
      </c>
      <c r="D152" t="s">
        <v>19</v>
      </c>
      <c r="E152">
        <v>44.1</v>
      </c>
      <c r="F152" t="s">
        <v>19</v>
      </c>
      <c r="G152" s="1">
        <v>46143</v>
      </c>
      <c r="H152" t="str" cm="1">
        <f t="array" ref="H152">Categorize(Tx[[#This Row],[Description]])</f>
        <v>Home</v>
      </c>
    </row>
    <row r="153" spans="1:8" x14ac:dyDescent="0.25">
      <c r="A153" t="s">
        <v>128</v>
      </c>
      <c r="B153" s="1">
        <v>46144</v>
      </c>
      <c r="C153" s="1">
        <v>46145</v>
      </c>
      <c r="D153" t="s">
        <v>94</v>
      </c>
      <c r="E153">
        <v>5.34</v>
      </c>
      <c r="F153" t="s">
        <v>122</v>
      </c>
      <c r="G153" s="1">
        <v>46143</v>
      </c>
      <c r="H153" t="str" cm="1">
        <f t="array" ref="H153">Categorize(Tx[[#This Row],[Description]])</f>
        <v>Cafe</v>
      </c>
    </row>
    <row r="154" spans="1:8" x14ac:dyDescent="0.25">
      <c r="A154" t="s">
        <v>128</v>
      </c>
      <c r="B154" s="1">
        <v>46144</v>
      </c>
      <c r="C154" s="1">
        <v>46145</v>
      </c>
      <c r="D154" t="s">
        <v>16</v>
      </c>
      <c r="E154">
        <v>35.15</v>
      </c>
      <c r="F154" t="s">
        <v>72</v>
      </c>
      <c r="G154" s="1">
        <v>46143</v>
      </c>
      <c r="H154" t="str" cm="1">
        <f t="array" ref="H154">Categorize(Tx[[#This Row],[Description]])</f>
        <v>Dining</v>
      </c>
    </row>
    <row r="155" spans="1:8" x14ac:dyDescent="0.25">
      <c r="A155" t="s">
        <v>128</v>
      </c>
      <c r="B155" s="1">
        <v>46143</v>
      </c>
      <c r="C155" s="1">
        <v>46144</v>
      </c>
      <c r="D155" t="s">
        <v>98</v>
      </c>
      <c r="E155">
        <v>40.94</v>
      </c>
      <c r="F155" t="s">
        <v>121</v>
      </c>
      <c r="G155" s="1">
        <v>46143</v>
      </c>
      <c r="H155" t="str" cm="1">
        <f t="array" ref="H155">Categorize(Tx[[#This Row],[Description]])</f>
        <v>Grocery</v>
      </c>
    </row>
    <row r="156" spans="1:8" x14ac:dyDescent="0.25">
      <c r="A156" t="s">
        <v>128</v>
      </c>
      <c r="B156" s="1">
        <v>46143</v>
      </c>
      <c r="C156" s="1">
        <v>46144</v>
      </c>
      <c r="D156" t="s">
        <v>9</v>
      </c>
      <c r="E156">
        <v>14.2</v>
      </c>
      <c r="F156" t="s">
        <v>37</v>
      </c>
      <c r="G156" s="1">
        <v>46143</v>
      </c>
      <c r="H156" t="str" cm="1">
        <f t="array" ref="H156">Categorize(Tx[[#This Row],[Description]])</f>
        <v>Cafe</v>
      </c>
    </row>
    <row r="157" spans="1:8" x14ac:dyDescent="0.25">
      <c r="A157" t="s">
        <v>129</v>
      </c>
      <c r="B157" s="1">
        <v>46203</v>
      </c>
      <c r="C157" s="1">
        <v>46203</v>
      </c>
      <c r="D157" t="s">
        <v>7</v>
      </c>
      <c r="E157">
        <v>93.02</v>
      </c>
      <c r="F157" t="s">
        <v>63</v>
      </c>
      <c r="G157" s="1">
        <v>46174</v>
      </c>
      <c r="H157" t="str" cm="1">
        <f t="array" ref="H157">Categorize(Tx[[#This Row],[Description]])</f>
        <v>Home</v>
      </c>
    </row>
    <row r="158" spans="1:8" x14ac:dyDescent="0.25">
      <c r="A158" t="s">
        <v>129</v>
      </c>
      <c r="B158" s="1">
        <v>46201</v>
      </c>
      <c r="C158" s="1">
        <v>46201</v>
      </c>
      <c r="D158" t="s">
        <v>94</v>
      </c>
      <c r="E158">
        <v>5.01</v>
      </c>
      <c r="F158" t="s">
        <v>122</v>
      </c>
      <c r="G158" s="1">
        <v>46174</v>
      </c>
      <c r="H158" t="str" cm="1">
        <f t="array" ref="H158">Categorize(Tx[[#This Row],[Description]])</f>
        <v>Cafe</v>
      </c>
    </row>
    <row r="159" spans="1:8" x14ac:dyDescent="0.25">
      <c r="A159" t="s">
        <v>129</v>
      </c>
      <c r="B159" s="1">
        <v>46200</v>
      </c>
      <c r="C159" s="1">
        <v>46200</v>
      </c>
      <c r="D159" t="s">
        <v>12</v>
      </c>
      <c r="E159">
        <v>73.319999999999993</v>
      </c>
      <c r="F159" t="s">
        <v>67</v>
      </c>
      <c r="G159" s="1">
        <v>46174</v>
      </c>
      <c r="H159" t="str" cm="1">
        <f t="array" ref="H159">Categorize(Tx[[#This Row],[Description]])</f>
        <v>Gas</v>
      </c>
    </row>
    <row r="160" spans="1:8" x14ac:dyDescent="0.25">
      <c r="A160" t="s">
        <v>129</v>
      </c>
      <c r="B160" s="1">
        <v>46200</v>
      </c>
      <c r="C160" s="1">
        <v>46201</v>
      </c>
      <c r="D160" t="s">
        <v>97</v>
      </c>
      <c r="E160">
        <v>17.32</v>
      </c>
      <c r="F160" t="s">
        <v>29</v>
      </c>
      <c r="G160" s="1">
        <v>46174</v>
      </c>
      <c r="H160" t="str" cm="1">
        <f t="array" ref="H160">Categorize(Tx[[#This Row],[Description]])</f>
        <v>Transit</v>
      </c>
    </row>
    <row r="161" spans="1:8" x14ac:dyDescent="0.25">
      <c r="A161" t="s">
        <v>129</v>
      </c>
      <c r="B161" s="1">
        <v>46199</v>
      </c>
      <c r="C161" s="1">
        <v>46200</v>
      </c>
      <c r="D161" t="s">
        <v>8</v>
      </c>
      <c r="E161">
        <v>63.75</v>
      </c>
      <c r="F161" t="s">
        <v>64</v>
      </c>
      <c r="G161" s="1">
        <v>46174</v>
      </c>
      <c r="H161" t="str" cm="1">
        <f t="array" ref="H161">Categorize(Tx[[#This Row],[Description]])</f>
        <v>Grocery</v>
      </c>
    </row>
    <row r="162" spans="1:8" x14ac:dyDescent="0.25">
      <c r="A162" t="s">
        <v>129</v>
      </c>
      <c r="B162" s="1">
        <v>46197</v>
      </c>
      <c r="C162" s="1">
        <v>46199</v>
      </c>
      <c r="D162" t="s">
        <v>98</v>
      </c>
      <c r="E162">
        <v>28.3</v>
      </c>
      <c r="F162" t="s">
        <v>121</v>
      </c>
      <c r="G162" s="1">
        <v>46174</v>
      </c>
      <c r="H162" t="str" cm="1">
        <f t="array" ref="H162">Categorize(Tx[[#This Row],[Description]])</f>
        <v>Grocery</v>
      </c>
    </row>
    <row r="163" spans="1:8" x14ac:dyDescent="0.25">
      <c r="A163" t="s">
        <v>129</v>
      </c>
      <c r="B163" s="1">
        <v>46197</v>
      </c>
      <c r="C163" s="1">
        <v>46199</v>
      </c>
      <c r="D163" t="s">
        <v>96</v>
      </c>
      <c r="E163">
        <v>5.74</v>
      </c>
      <c r="F163" t="s">
        <v>114</v>
      </c>
      <c r="G163" s="1">
        <v>46174</v>
      </c>
      <c r="H163" t="str" cm="1">
        <f t="array" ref="H163">Categorize(Tx[[#This Row],[Description]])</f>
        <v>Cafe</v>
      </c>
    </row>
    <row r="164" spans="1:8" x14ac:dyDescent="0.25">
      <c r="A164" t="s">
        <v>129</v>
      </c>
      <c r="B164" s="1">
        <v>46197</v>
      </c>
      <c r="C164" s="1">
        <v>46199</v>
      </c>
      <c r="D164" t="s">
        <v>97</v>
      </c>
      <c r="E164">
        <v>20.05</v>
      </c>
      <c r="F164" t="s">
        <v>29</v>
      </c>
      <c r="G164" s="1">
        <v>46174</v>
      </c>
      <c r="H164" t="str" cm="1">
        <f t="array" ref="H164">Categorize(Tx[[#This Row],[Description]])</f>
        <v>Transit</v>
      </c>
    </row>
    <row r="165" spans="1:8" x14ac:dyDescent="0.25">
      <c r="A165" t="s">
        <v>129</v>
      </c>
      <c r="B165" s="1">
        <v>46197</v>
      </c>
      <c r="C165" s="1">
        <v>46197</v>
      </c>
      <c r="D165" t="s">
        <v>107</v>
      </c>
      <c r="E165">
        <v>-9.2100000000000009</v>
      </c>
      <c r="F165" t="s">
        <v>40</v>
      </c>
      <c r="G165" s="1">
        <v>46174</v>
      </c>
      <c r="H165" t="str" cm="1">
        <f t="array" ref="H165">Categorize(Tx[[#This Row],[Description]])</f>
        <v>Online Shopping</v>
      </c>
    </row>
    <row r="166" spans="1:8" x14ac:dyDescent="0.25">
      <c r="A166" t="s">
        <v>129</v>
      </c>
      <c r="B166" s="1">
        <v>46196</v>
      </c>
      <c r="C166" s="1">
        <v>46197</v>
      </c>
      <c r="D166" t="s">
        <v>94</v>
      </c>
      <c r="E166">
        <v>5.74</v>
      </c>
      <c r="F166" t="s">
        <v>122</v>
      </c>
      <c r="G166" s="1">
        <v>46174</v>
      </c>
      <c r="H166" t="str" cm="1">
        <f t="array" ref="H166">Categorize(Tx[[#This Row],[Description]])</f>
        <v>Cafe</v>
      </c>
    </row>
    <row r="167" spans="1:8" x14ac:dyDescent="0.25">
      <c r="A167" t="s">
        <v>129</v>
      </c>
      <c r="B167" s="1">
        <v>46196</v>
      </c>
      <c r="C167" s="1">
        <v>46196</v>
      </c>
      <c r="D167" t="s">
        <v>97</v>
      </c>
      <c r="E167">
        <v>9.7100000000000009</v>
      </c>
      <c r="F167" t="s">
        <v>29</v>
      </c>
      <c r="G167" s="1">
        <v>46174</v>
      </c>
      <c r="H167" t="str" cm="1">
        <f t="array" ref="H167">Categorize(Tx[[#This Row],[Description]])</f>
        <v>Transit</v>
      </c>
    </row>
    <row r="168" spans="1:8" x14ac:dyDescent="0.25">
      <c r="A168" t="s">
        <v>129</v>
      </c>
      <c r="B168" s="1">
        <v>46196</v>
      </c>
      <c r="C168" s="1">
        <v>46197</v>
      </c>
      <c r="D168" t="s">
        <v>104</v>
      </c>
      <c r="E168">
        <v>22.01</v>
      </c>
      <c r="F168" t="s">
        <v>75</v>
      </c>
      <c r="G168" s="1">
        <v>46174</v>
      </c>
      <c r="H168" t="str" cm="1">
        <f t="array" ref="H168">Categorize(Tx[[#This Row],[Description]])</f>
        <v>Entertainment</v>
      </c>
    </row>
    <row r="169" spans="1:8" x14ac:dyDescent="0.25">
      <c r="A169" t="s">
        <v>129</v>
      </c>
      <c r="B169" s="1">
        <v>46195</v>
      </c>
      <c r="C169" s="1">
        <v>46197</v>
      </c>
      <c r="D169" t="s">
        <v>94</v>
      </c>
      <c r="E169">
        <v>7.27</v>
      </c>
      <c r="F169" t="s">
        <v>122</v>
      </c>
      <c r="G169" s="1">
        <v>46174</v>
      </c>
      <c r="H169" t="str" cm="1">
        <f t="array" ref="H169">Categorize(Tx[[#This Row],[Description]])</f>
        <v>Cafe</v>
      </c>
    </row>
    <row r="170" spans="1:8" x14ac:dyDescent="0.25">
      <c r="A170" t="s">
        <v>129</v>
      </c>
      <c r="B170" s="1">
        <v>46194</v>
      </c>
      <c r="C170" s="1">
        <v>46195</v>
      </c>
      <c r="D170" t="s">
        <v>13</v>
      </c>
      <c r="E170">
        <v>48.69</v>
      </c>
      <c r="F170" t="s">
        <v>68</v>
      </c>
      <c r="G170" s="1">
        <v>46174</v>
      </c>
      <c r="H170" t="str" cm="1">
        <f t="array" ref="H170">Categorize(Tx[[#This Row],[Description]])</f>
        <v>Grocery</v>
      </c>
    </row>
    <row r="171" spans="1:8" x14ac:dyDescent="0.25">
      <c r="A171" t="s">
        <v>129</v>
      </c>
      <c r="B171" s="1">
        <v>46194</v>
      </c>
      <c r="C171" s="1">
        <v>46195</v>
      </c>
      <c r="D171" t="s">
        <v>105</v>
      </c>
      <c r="E171">
        <v>38.869999999999997</v>
      </c>
      <c r="F171" t="s">
        <v>74</v>
      </c>
      <c r="G171" s="1">
        <v>46174</v>
      </c>
      <c r="H171" t="str" cm="1">
        <f t="array" ref="H171">Categorize(Tx[[#This Row],[Description]])</f>
        <v>Dining</v>
      </c>
    </row>
    <row r="172" spans="1:8" x14ac:dyDescent="0.25">
      <c r="A172" t="s">
        <v>129</v>
      </c>
      <c r="B172" s="1">
        <v>46194</v>
      </c>
      <c r="C172" s="1">
        <v>46195</v>
      </c>
      <c r="D172" t="s">
        <v>5</v>
      </c>
      <c r="E172">
        <v>15.99</v>
      </c>
      <c r="F172" t="s">
        <v>5</v>
      </c>
      <c r="G172" s="1">
        <v>46174</v>
      </c>
      <c r="H172" t="str" cm="1">
        <f t="array" ref="H172">Categorize(Tx[[#This Row],[Description]])</f>
        <v>Fees</v>
      </c>
    </row>
    <row r="173" spans="1:8" x14ac:dyDescent="0.25">
      <c r="A173" t="s">
        <v>129</v>
      </c>
      <c r="B173" s="1">
        <v>46193</v>
      </c>
      <c r="C173" s="1">
        <v>46193</v>
      </c>
      <c r="D173" t="s">
        <v>95</v>
      </c>
      <c r="E173">
        <v>55.8</v>
      </c>
      <c r="F173" t="s">
        <v>120</v>
      </c>
      <c r="G173" s="1">
        <v>46174</v>
      </c>
      <c r="H173" t="str" cm="1">
        <f t="array" ref="H173">Categorize(Tx[[#This Row],[Description]])</f>
        <v>Grocery</v>
      </c>
    </row>
    <row r="174" spans="1:8" x14ac:dyDescent="0.25">
      <c r="A174" t="s">
        <v>129</v>
      </c>
      <c r="B174" s="1">
        <v>46193</v>
      </c>
      <c r="C174" s="1">
        <v>46194</v>
      </c>
      <c r="D174" t="s">
        <v>8</v>
      </c>
      <c r="E174">
        <v>50.8</v>
      </c>
      <c r="F174" t="s">
        <v>64</v>
      </c>
      <c r="G174" s="1">
        <v>46174</v>
      </c>
      <c r="H174" t="str" cm="1">
        <f t="array" ref="H174">Categorize(Tx[[#This Row],[Description]])</f>
        <v>Grocery</v>
      </c>
    </row>
    <row r="175" spans="1:8" x14ac:dyDescent="0.25">
      <c r="A175" t="s">
        <v>129</v>
      </c>
      <c r="B175" s="1">
        <v>46193</v>
      </c>
      <c r="C175" s="1">
        <v>46194</v>
      </c>
      <c r="D175" t="s">
        <v>6</v>
      </c>
      <c r="E175">
        <v>28</v>
      </c>
      <c r="F175" t="s">
        <v>62</v>
      </c>
      <c r="G175" s="1">
        <v>46174</v>
      </c>
      <c r="H175" t="str" cm="1">
        <f t="array" ref="H175">Categorize(Tx[[#This Row],[Description]])</f>
        <v>Subscription</v>
      </c>
    </row>
    <row r="176" spans="1:8" x14ac:dyDescent="0.25">
      <c r="A176" t="s">
        <v>129</v>
      </c>
      <c r="B176" s="1">
        <v>46192</v>
      </c>
      <c r="C176" s="1">
        <v>46192</v>
      </c>
      <c r="D176" t="s">
        <v>95</v>
      </c>
      <c r="E176">
        <v>56.73</v>
      </c>
      <c r="F176" t="s">
        <v>120</v>
      </c>
      <c r="G176" s="1">
        <v>46174</v>
      </c>
      <c r="H176" t="str" cm="1">
        <f t="array" ref="H176">Categorize(Tx[[#This Row],[Description]])</f>
        <v>Grocery</v>
      </c>
    </row>
    <row r="177" spans="1:8" x14ac:dyDescent="0.25">
      <c r="A177" t="s">
        <v>129</v>
      </c>
      <c r="B177" s="1">
        <v>46191</v>
      </c>
      <c r="C177" s="1">
        <v>46193</v>
      </c>
      <c r="D177" t="s">
        <v>100</v>
      </c>
      <c r="E177">
        <v>21.51</v>
      </c>
      <c r="F177" t="s">
        <v>117</v>
      </c>
      <c r="G177" s="1">
        <v>46174</v>
      </c>
      <c r="H177" t="str" cm="1">
        <f t="array" ref="H177">Categorize(Tx[[#This Row],[Description]])</f>
        <v>Dining</v>
      </c>
    </row>
    <row r="178" spans="1:8" x14ac:dyDescent="0.25">
      <c r="A178" t="s">
        <v>129</v>
      </c>
      <c r="B178" s="1">
        <v>46190</v>
      </c>
      <c r="C178" s="1">
        <v>46191</v>
      </c>
      <c r="D178" t="s">
        <v>17</v>
      </c>
      <c r="E178">
        <v>8.59</v>
      </c>
      <c r="F178" t="s">
        <v>73</v>
      </c>
      <c r="G178" s="1">
        <v>46174</v>
      </c>
      <c r="H178" t="str" cm="1">
        <f t="array" ref="H178">Categorize(Tx[[#This Row],[Description]])</f>
        <v>Parking</v>
      </c>
    </row>
    <row r="179" spans="1:8" x14ac:dyDescent="0.25">
      <c r="A179" t="s">
        <v>129</v>
      </c>
      <c r="B179" s="1">
        <v>46189</v>
      </c>
      <c r="C179" s="1">
        <v>46190</v>
      </c>
      <c r="D179" t="s">
        <v>96</v>
      </c>
      <c r="E179">
        <v>7.52</v>
      </c>
      <c r="F179" t="s">
        <v>114</v>
      </c>
      <c r="G179" s="1">
        <v>46174</v>
      </c>
      <c r="H179" t="str" cm="1">
        <f t="array" ref="H179">Categorize(Tx[[#This Row],[Description]])</f>
        <v>Cafe</v>
      </c>
    </row>
    <row r="180" spans="1:8" x14ac:dyDescent="0.25">
      <c r="A180" t="s">
        <v>129</v>
      </c>
      <c r="B180" s="1">
        <v>46188</v>
      </c>
      <c r="C180" s="1">
        <v>46190</v>
      </c>
      <c r="D180" t="s">
        <v>95</v>
      </c>
      <c r="E180">
        <v>28.39</v>
      </c>
      <c r="F180" t="s">
        <v>120</v>
      </c>
      <c r="G180" s="1">
        <v>46174</v>
      </c>
      <c r="H180" t="str" cm="1">
        <f t="array" ref="H180">Categorize(Tx[[#This Row],[Description]])</f>
        <v>Grocery</v>
      </c>
    </row>
    <row r="181" spans="1:8" x14ac:dyDescent="0.25">
      <c r="A181" t="s">
        <v>129</v>
      </c>
      <c r="B181" s="1">
        <v>46188</v>
      </c>
      <c r="C181" s="1">
        <v>46190</v>
      </c>
      <c r="D181" t="s">
        <v>94</v>
      </c>
      <c r="E181">
        <v>9.9700000000000006</v>
      </c>
      <c r="F181" t="s">
        <v>122</v>
      </c>
      <c r="G181" s="1">
        <v>46174</v>
      </c>
      <c r="H181" t="str" cm="1">
        <f t="array" ref="H181">Categorize(Tx[[#This Row],[Description]])</f>
        <v>Cafe</v>
      </c>
    </row>
    <row r="182" spans="1:8" x14ac:dyDescent="0.25">
      <c r="A182" t="s">
        <v>129</v>
      </c>
      <c r="B182" s="1">
        <v>46188</v>
      </c>
      <c r="C182" s="1">
        <v>46189</v>
      </c>
      <c r="D182" t="s">
        <v>99</v>
      </c>
      <c r="E182">
        <v>28.1</v>
      </c>
      <c r="F182" t="s">
        <v>123</v>
      </c>
      <c r="G182" s="1">
        <v>46174</v>
      </c>
      <c r="H182" t="str" cm="1">
        <f t="array" ref="H182">Categorize(Tx[[#This Row],[Description]])</f>
        <v>Personal Care</v>
      </c>
    </row>
    <row r="183" spans="1:8" x14ac:dyDescent="0.25">
      <c r="A183" t="s">
        <v>129</v>
      </c>
      <c r="B183" s="1">
        <v>46188</v>
      </c>
      <c r="C183" s="1">
        <v>46188</v>
      </c>
      <c r="D183" t="s">
        <v>103</v>
      </c>
      <c r="E183">
        <v>109.19</v>
      </c>
      <c r="F183" t="s">
        <v>115</v>
      </c>
      <c r="G183" s="1">
        <v>46174</v>
      </c>
      <c r="H183" t="str" cm="1">
        <f t="array" ref="H183">Categorize(Tx[[#This Row],[Description]])</f>
        <v>Shopping</v>
      </c>
    </row>
    <row r="184" spans="1:8" x14ac:dyDescent="0.25">
      <c r="A184" t="s">
        <v>129</v>
      </c>
      <c r="B184" s="1">
        <v>46188</v>
      </c>
      <c r="C184" s="1">
        <v>46190</v>
      </c>
      <c r="D184" t="s">
        <v>108</v>
      </c>
      <c r="E184">
        <v>22.76</v>
      </c>
      <c r="F184" t="s">
        <v>124</v>
      </c>
      <c r="G184" s="1">
        <v>46174</v>
      </c>
      <c r="H184" t="str" cm="1">
        <f t="array" ref="H184">Categorize(Tx[[#This Row],[Description]])</f>
        <v>Uncategorized</v>
      </c>
    </row>
    <row r="185" spans="1:8" x14ac:dyDescent="0.25">
      <c r="A185" t="s">
        <v>129</v>
      </c>
      <c r="B185" s="1">
        <v>46187</v>
      </c>
      <c r="C185" s="1">
        <v>46189</v>
      </c>
      <c r="D185" t="s">
        <v>12</v>
      </c>
      <c r="E185">
        <v>75.98</v>
      </c>
      <c r="F185" t="s">
        <v>67</v>
      </c>
      <c r="G185" s="1">
        <v>46174</v>
      </c>
      <c r="H185" t="str" cm="1">
        <f t="array" ref="H185">Categorize(Tx[[#This Row],[Description]])</f>
        <v>Gas</v>
      </c>
    </row>
    <row r="186" spans="1:8" x14ac:dyDescent="0.25">
      <c r="A186" t="s">
        <v>129</v>
      </c>
      <c r="B186" s="1">
        <v>46187</v>
      </c>
      <c r="C186" s="1">
        <v>46187</v>
      </c>
      <c r="D186" t="s">
        <v>10</v>
      </c>
      <c r="E186">
        <v>79.22</v>
      </c>
      <c r="F186" t="s">
        <v>65</v>
      </c>
      <c r="G186" s="1">
        <v>46174</v>
      </c>
      <c r="H186" t="str" cm="1">
        <f t="array" ref="H186">Categorize(Tx[[#This Row],[Description]])</f>
        <v>Insurance</v>
      </c>
    </row>
    <row r="187" spans="1:8" x14ac:dyDescent="0.25">
      <c r="A187" t="s">
        <v>129</v>
      </c>
      <c r="B187" s="1">
        <v>46185</v>
      </c>
      <c r="C187" s="1">
        <v>46185</v>
      </c>
      <c r="D187" t="s">
        <v>11</v>
      </c>
      <c r="E187">
        <v>13.3</v>
      </c>
      <c r="F187" t="s">
        <v>66</v>
      </c>
      <c r="G187" s="1">
        <v>46174</v>
      </c>
      <c r="H187" t="str" cm="1">
        <f t="array" ref="H187">Categorize(Tx[[#This Row],[Description]])</f>
        <v>Car Share</v>
      </c>
    </row>
    <row r="188" spans="1:8" x14ac:dyDescent="0.25">
      <c r="A188" t="s">
        <v>129</v>
      </c>
      <c r="B188" s="1">
        <v>46184</v>
      </c>
      <c r="C188" s="1">
        <v>46186</v>
      </c>
      <c r="D188" t="s">
        <v>14</v>
      </c>
      <c r="E188">
        <v>15.89</v>
      </c>
      <c r="F188" t="s">
        <v>69</v>
      </c>
      <c r="G188" s="1">
        <v>46174</v>
      </c>
      <c r="H188" t="str" cm="1">
        <f t="array" ref="H188">Categorize(Tx[[#This Row],[Description]])</f>
        <v>Car Share</v>
      </c>
    </row>
    <row r="189" spans="1:8" x14ac:dyDescent="0.25">
      <c r="A189" t="s">
        <v>129</v>
      </c>
      <c r="B189" s="1">
        <v>46183</v>
      </c>
      <c r="C189" s="1">
        <v>46183</v>
      </c>
      <c r="D189" t="s">
        <v>16</v>
      </c>
      <c r="E189">
        <v>18.489999999999998</v>
      </c>
      <c r="F189" t="s">
        <v>72</v>
      </c>
      <c r="G189" s="1">
        <v>46174</v>
      </c>
      <c r="H189" t="str" cm="1">
        <f t="array" ref="H189">Categorize(Tx[[#This Row],[Description]])</f>
        <v>Dining</v>
      </c>
    </row>
    <row r="190" spans="1:8" x14ac:dyDescent="0.25">
      <c r="A190" t="s">
        <v>129</v>
      </c>
      <c r="B190" s="1">
        <v>46182</v>
      </c>
      <c r="C190" s="1">
        <v>46183</v>
      </c>
      <c r="D190" t="s">
        <v>101</v>
      </c>
      <c r="E190">
        <v>17.25</v>
      </c>
      <c r="F190" t="s">
        <v>119</v>
      </c>
      <c r="G190" s="1">
        <v>46174</v>
      </c>
      <c r="H190" t="str" cm="1">
        <f t="array" ref="H190">Categorize(Tx[[#This Row],[Description]])</f>
        <v>Parking</v>
      </c>
    </row>
    <row r="191" spans="1:8" x14ac:dyDescent="0.25">
      <c r="A191" t="s">
        <v>129</v>
      </c>
      <c r="B191" s="1">
        <v>46182</v>
      </c>
      <c r="C191" s="1">
        <v>46182</v>
      </c>
      <c r="D191" t="s">
        <v>106</v>
      </c>
      <c r="E191">
        <v>37.75</v>
      </c>
      <c r="F191" t="s">
        <v>125</v>
      </c>
      <c r="G191" s="1">
        <v>46174</v>
      </c>
      <c r="H191" t="str" cm="1">
        <f t="array" ref="H191">Categorize(Tx[[#This Row],[Description]])</f>
        <v>Uncategorized</v>
      </c>
    </row>
    <row r="192" spans="1:8" x14ac:dyDescent="0.25">
      <c r="A192" t="s">
        <v>129</v>
      </c>
      <c r="B192" s="1">
        <v>46181</v>
      </c>
      <c r="C192" s="1">
        <v>46182</v>
      </c>
      <c r="D192" t="s">
        <v>9</v>
      </c>
      <c r="E192">
        <v>27.1</v>
      </c>
      <c r="F192" t="s">
        <v>37</v>
      </c>
      <c r="G192" s="1">
        <v>46174</v>
      </c>
      <c r="H192" t="str" cm="1">
        <f t="array" ref="H192">Categorize(Tx[[#This Row],[Description]])</f>
        <v>Cafe</v>
      </c>
    </row>
    <row r="193" spans="1:8" x14ac:dyDescent="0.25">
      <c r="A193" t="s">
        <v>129</v>
      </c>
      <c r="B193" s="1">
        <v>46181</v>
      </c>
      <c r="C193" s="1">
        <v>46182</v>
      </c>
      <c r="D193" t="s">
        <v>9</v>
      </c>
      <c r="E193">
        <v>13.7</v>
      </c>
      <c r="F193" t="s">
        <v>37</v>
      </c>
      <c r="G193" s="1">
        <v>46174</v>
      </c>
      <c r="H193" t="str" cm="1">
        <f t="array" ref="H193">Categorize(Tx[[#This Row],[Description]])</f>
        <v>Cafe</v>
      </c>
    </row>
    <row r="194" spans="1:8" x14ac:dyDescent="0.25">
      <c r="A194" t="s">
        <v>129</v>
      </c>
      <c r="B194" s="1">
        <v>46181</v>
      </c>
      <c r="C194" s="1">
        <v>46181</v>
      </c>
      <c r="D194" t="s">
        <v>99</v>
      </c>
      <c r="E194">
        <v>26.41</v>
      </c>
      <c r="F194" t="s">
        <v>123</v>
      </c>
      <c r="G194" s="1">
        <v>46174</v>
      </c>
      <c r="H194" t="str" cm="1">
        <f t="array" ref="H194">Categorize(Tx[[#This Row],[Description]])</f>
        <v>Personal Care</v>
      </c>
    </row>
    <row r="195" spans="1:8" x14ac:dyDescent="0.25">
      <c r="A195" t="s">
        <v>129</v>
      </c>
      <c r="B195" s="1">
        <v>46180</v>
      </c>
      <c r="C195" s="1">
        <v>46182</v>
      </c>
      <c r="D195" t="s">
        <v>9</v>
      </c>
      <c r="E195">
        <v>14.66</v>
      </c>
      <c r="F195" t="s">
        <v>37</v>
      </c>
      <c r="G195" s="1">
        <v>46174</v>
      </c>
      <c r="H195" t="str" cm="1">
        <f t="array" ref="H195">Categorize(Tx[[#This Row],[Description]])</f>
        <v>Cafe</v>
      </c>
    </row>
    <row r="196" spans="1:8" x14ac:dyDescent="0.25">
      <c r="A196" t="s">
        <v>129</v>
      </c>
      <c r="B196" s="1">
        <v>46180</v>
      </c>
      <c r="C196" s="1">
        <v>46180</v>
      </c>
      <c r="D196" t="s">
        <v>16</v>
      </c>
      <c r="E196">
        <v>41.37</v>
      </c>
      <c r="F196" t="s">
        <v>72</v>
      </c>
      <c r="G196" s="1">
        <v>46174</v>
      </c>
      <c r="H196" t="str" cm="1">
        <f t="array" ref="H196">Categorize(Tx[[#This Row],[Description]])</f>
        <v>Dining</v>
      </c>
    </row>
    <row r="197" spans="1:8" x14ac:dyDescent="0.25">
      <c r="A197" t="s">
        <v>129</v>
      </c>
      <c r="B197" s="1">
        <v>46180</v>
      </c>
      <c r="C197" s="1">
        <v>46180</v>
      </c>
      <c r="D197" t="s">
        <v>14</v>
      </c>
      <c r="E197">
        <v>15.32</v>
      </c>
      <c r="F197" t="s">
        <v>69</v>
      </c>
      <c r="G197" s="1">
        <v>46174</v>
      </c>
      <c r="H197" t="str" cm="1">
        <f t="array" ref="H197">Categorize(Tx[[#This Row],[Description]])</f>
        <v>Car Share</v>
      </c>
    </row>
    <row r="198" spans="1:8" x14ac:dyDescent="0.25">
      <c r="A198" t="s">
        <v>129</v>
      </c>
      <c r="B198" s="1">
        <v>46177</v>
      </c>
      <c r="C198" s="1">
        <v>46178</v>
      </c>
      <c r="D198" t="s">
        <v>17</v>
      </c>
      <c r="E198">
        <v>3.11</v>
      </c>
      <c r="F198" t="s">
        <v>73</v>
      </c>
      <c r="G198" s="1">
        <v>46174</v>
      </c>
      <c r="H198" t="str" cm="1">
        <f t="array" ref="H198">Categorize(Tx[[#This Row],[Description]])</f>
        <v>Parking</v>
      </c>
    </row>
    <row r="199" spans="1:8" x14ac:dyDescent="0.25">
      <c r="A199" t="s">
        <v>129</v>
      </c>
      <c r="B199" s="1">
        <v>46176</v>
      </c>
      <c r="C199" s="1">
        <v>46177</v>
      </c>
      <c r="D199" t="s">
        <v>98</v>
      </c>
      <c r="E199">
        <v>75.22</v>
      </c>
      <c r="F199" t="s">
        <v>121</v>
      </c>
      <c r="G199" s="1">
        <v>46174</v>
      </c>
      <c r="H199" t="str" cm="1">
        <f t="array" ref="H199">Categorize(Tx[[#This Row],[Description]])</f>
        <v>Grocery</v>
      </c>
    </row>
    <row r="200" spans="1:8" x14ac:dyDescent="0.25">
      <c r="A200" t="s">
        <v>129</v>
      </c>
      <c r="B200" s="1">
        <v>46176</v>
      </c>
      <c r="C200" s="1">
        <v>46177</v>
      </c>
      <c r="D200" t="s">
        <v>98</v>
      </c>
      <c r="E200">
        <v>79.22</v>
      </c>
      <c r="F200" t="s">
        <v>121</v>
      </c>
      <c r="G200" s="1">
        <v>46174</v>
      </c>
      <c r="H200" t="str" cm="1">
        <f t="array" ref="H200">Categorize(Tx[[#This Row],[Description]])</f>
        <v>Grocery</v>
      </c>
    </row>
    <row r="201" spans="1:8" x14ac:dyDescent="0.25">
      <c r="A201" t="s">
        <v>129</v>
      </c>
      <c r="B201" s="1">
        <v>46176</v>
      </c>
      <c r="C201" s="1">
        <v>46176</v>
      </c>
      <c r="D201" t="s">
        <v>18</v>
      </c>
      <c r="E201">
        <v>54.03</v>
      </c>
      <c r="F201" t="s">
        <v>76</v>
      </c>
      <c r="G201" s="1">
        <v>46174</v>
      </c>
      <c r="H201" t="str" cm="1">
        <f t="array" ref="H201">Categorize(Tx[[#This Row],[Description]])</f>
        <v>Gas</v>
      </c>
    </row>
    <row r="202" spans="1:8" x14ac:dyDescent="0.25">
      <c r="A202" t="s">
        <v>129</v>
      </c>
      <c r="B202" s="1">
        <v>46175</v>
      </c>
      <c r="C202" s="1">
        <v>46177</v>
      </c>
      <c r="D202" t="s">
        <v>12</v>
      </c>
      <c r="E202">
        <v>60.93</v>
      </c>
      <c r="F202" t="s">
        <v>67</v>
      </c>
      <c r="G202" s="1">
        <v>46174</v>
      </c>
      <c r="H202" t="str" cm="1">
        <f t="array" ref="H202">Categorize(Tx[[#This Row],[Description]])</f>
        <v>Gas</v>
      </c>
    </row>
    <row r="203" spans="1:8" x14ac:dyDescent="0.25">
      <c r="A203" t="s">
        <v>129</v>
      </c>
      <c r="B203" s="1">
        <v>46174</v>
      </c>
      <c r="C203" s="1">
        <v>46174</v>
      </c>
      <c r="D203" t="s">
        <v>18</v>
      </c>
      <c r="E203">
        <v>57.88</v>
      </c>
      <c r="F203" t="s">
        <v>76</v>
      </c>
      <c r="G203" s="1">
        <v>46174</v>
      </c>
      <c r="H203" t="str" cm="1">
        <f t="array" ref="H203">Categorize(Tx[[#This Row],[Description]])</f>
        <v>Gas</v>
      </c>
    </row>
    <row r="204" spans="1:8" x14ac:dyDescent="0.25">
      <c r="A204" t="s">
        <v>129</v>
      </c>
      <c r="B204" s="1">
        <v>46174</v>
      </c>
      <c r="C204" s="1">
        <v>46174</v>
      </c>
      <c r="D204" t="s">
        <v>17</v>
      </c>
      <c r="E204">
        <v>2.82</v>
      </c>
      <c r="F204" t="s">
        <v>73</v>
      </c>
      <c r="G204" s="1">
        <v>46174</v>
      </c>
      <c r="H204" t="str" cm="1">
        <f t="array" ref="H204">Categorize(Tx[[#This Row],[Description]])</f>
        <v>Parking</v>
      </c>
    </row>
    <row r="205" spans="1:8" x14ac:dyDescent="0.25">
      <c r="A205" t="s">
        <v>129</v>
      </c>
      <c r="B205" s="1">
        <v>46174</v>
      </c>
      <c r="C205" s="1">
        <v>46176</v>
      </c>
      <c r="D205" t="s">
        <v>19</v>
      </c>
      <c r="E205">
        <v>27.5</v>
      </c>
      <c r="F205" t="s">
        <v>19</v>
      </c>
      <c r="G205" s="1">
        <v>46174</v>
      </c>
      <c r="H205" t="str" cm="1">
        <f t="array" ref="H205">Categorize(Tx[[#This Row],[Description]])</f>
        <v>Home</v>
      </c>
    </row>
    <row r="206" spans="1:8" x14ac:dyDescent="0.25">
      <c r="A206" t="s">
        <v>130</v>
      </c>
      <c r="B206" s="1">
        <v>46233</v>
      </c>
      <c r="C206" s="1">
        <v>46233</v>
      </c>
      <c r="D206" t="s">
        <v>98</v>
      </c>
      <c r="E206">
        <v>30.64</v>
      </c>
      <c r="F206" t="s">
        <v>121</v>
      </c>
      <c r="G206" s="1">
        <v>46204</v>
      </c>
      <c r="H206" t="str" cm="1">
        <f t="array" ref="H206">Categorize(Tx[[#This Row],[Description]])</f>
        <v>Grocery</v>
      </c>
    </row>
    <row r="207" spans="1:8" x14ac:dyDescent="0.25">
      <c r="A207" t="s">
        <v>130</v>
      </c>
      <c r="B207" s="1">
        <v>46233</v>
      </c>
      <c r="C207" s="1">
        <v>46234</v>
      </c>
      <c r="D207" t="s">
        <v>16</v>
      </c>
      <c r="E207">
        <v>44.26</v>
      </c>
      <c r="F207" t="s">
        <v>72</v>
      </c>
      <c r="G207" s="1">
        <v>46204</v>
      </c>
      <c r="H207" t="str" cm="1">
        <f t="array" ref="H207">Categorize(Tx[[#This Row],[Description]])</f>
        <v>Dining</v>
      </c>
    </row>
    <row r="208" spans="1:8" x14ac:dyDescent="0.25">
      <c r="A208" t="s">
        <v>130</v>
      </c>
      <c r="B208" s="1">
        <v>46232</v>
      </c>
      <c r="C208" s="1">
        <v>46233</v>
      </c>
      <c r="D208" t="s">
        <v>94</v>
      </c>
      <c r="E208">
        <v>9.34</v>
      </c>
      <c r="F208" t="s">
        <v>122</v>
      </c>
      <c r="G208" s="1">
        <v>46204</v>
      </c>
      <c r="H208" t="str" cm="1">
        <f t="array" ref="H208">Categorize(Tx[[#This Row],[Description]])</f>
        <v>Cafe</v>
      </c>
    </row>
    <row r="209" spans="1:8" x14ac:dyDescent="0.25">
      <c r="A209" t="s">
        <v>130</v>
      </c>
      <c r="B209" s="1">
        <v>46231</v>
      </c>
      <c r="C209" s="1">
        <v>46232</v>
      </c>
      <c r="D209" t="s">
        <v>96</v>
      </c>
      <c r="E209">
        <v>7.45</v>
      </c>
      <c r="F209" t="s">
        <v>114</v>
      </c>
      <c r="G209" s="1">
        <v>46204</v>
      </c>
      <c r="H209" t="str" cm="1">
        <f t="array" ref="H209">Categorize(Tx[[#This Row],[Description]])</f>
        <v>Cafe</v>
      </c>
    </row>
    <row r="210" spans="1:8" x14ac:dyDescent="0.25">
      <c r="A210" t="s">
        <v>130</v>
      </c>
      <c r="B210" s="1">
        <v>46231</v>
      </c>
      <c r="C210" s="1">
        <v>46232</v>
      </c>
      <c r="D210" t="s">
        <v>12</v>
      </c>
      <c r="E210">
        <v>68.959999999999994</v>
      </c>
      <c r="F210" t="s">
        <v>67</v>
      </c>
      <c r="G210" s="1">
        <v>46204</v>
      </c>
      <c r="H210" t="str" cm="1">
        <f t="array" ref="H210">Categorize(Tx[[#This Row],[Description]])</f>
        <v>Gas</v>
      </c>
    </row>
    <row r="211" spans="1:8" x14ac:dyDescent="0.25">
      <c r="A211" t="s">
        <v>130</v>
      </c>
      <c r="B211" s="1">
        <v>46231</v>
      </c>
      <c r="C211" s="1">
        <v>46233</v>
      </c>
      <c r="D211" t="s">
        <v>20</v>
      </c>
      <c r="E211">
        <v>37.76</v>
      </c>
      <c r="F211" t="s">
        <v>20</v>
      </c>
      <c r="G211" s="1">
        <v>46204</v>
      </c>
      <c r="H211" t="str" cm="1">
        <f t="array" ref="H211">Categorize(Tx[[#This Row],[Description]])</f>
        <v>Hobby</v>
      </c>
    </row>
    <row r="212" spans="1:8" x14ac:dyDescent="0.25">
      <c r="A212" t="s">
        <v>130</v>
      </c>
      <c r="B212" s="1">
        <v>46230</v>
      </c>
      <c r="C212" s="1">
        <v>46231</v>
      </c>
      <c r="D212" t="s">
        <v>15</v>
      </c>
      <c r="E212">
        <v>2.9</v>
      </c>
      <c r="F212" t="s">
        <v>70</v>
      </c>
      <c r="G212" s="1">
        <v>46204</v>
      </c>
      <c r="H212" t="str" cm="1">
        <f t="array" ref="H212">Categorize(Tx[[#This Row],[Description]])</f>
        <v>Transit</v>
      </c>
    </row>
    <row r="213" spans="1:8" x14ac:dyDescent="0.25">
      <c r="A213" t="s">
        <v>130</v>
      </c>
      <c r="B213" s="1">
        <v>46229</v>
      </c>
      <c r="C213" s="1">
        <v>46231</v>
      </c>
      <c r="D213" t="s">
        <v>12</v>
      </c>
      <c r="E213">
        <v>43.38</v>
      </c>
      <c r="F213" t="s">
        <v>67</v>
      </c>
      <c r="G213" s="1">
        <v>46204</v>
      </c>
      <c r="H213" t="str" cm="1">
        <f t="array" ref="H213">Categorize(Tx[[#This Row],[Description]])</f>
        <v>Gas</v>
      </c>
    </row>
    <row r="214" spans="1:8" x14ac:dyDescent="0.25">
      <c r="A214" t="s">
        <v>130</v>
      </c>
      <c r="B214" s="1">
        <v>46229</v>
      </c>
      <c r="C214" s="1">
        <v>46230</v>
      </c>
      <c r="D214" t="s">
        <v>15</v>
      </c>
      <c r="E214">
        <v>2.9</v>
      </c>
      <c r="F214" t="s">
        <v>70</v>
      </c>
      <c r="G214" s="1">
        <v>46204</v>
      </c>
      <c r="H214" t="str" cm="1">
        <f t="array" ref="H214">Categorize(Tx[[#This Row],[Description]])</f>
        <v>Transit</v>
      </c>
    </row>
    <row r="215" spans="1:8" x14ac:dyDescent="0.25">
      <c r="A215" t="s">
        <v>130</v>
      </c>
      <c r="B215" s="1">
        <v>46229</v>
      </c>
      <c r="C215" s="1">
        <v>46230</v>
      </c>
      <c r="D215" t="s">
        <v>15</v>
      </c>
      <c r="E215">
        <v>2.9</v>
      </c>
      <c r="F215" t="s">
        <v>70</v>
      </c>
      <c r="G215" s="1">
        <v>46204</v>
      </c>
      <c r="H215" t="str" cm="1">
        <f t="array" ref="H215">Categorize(Tx[[#This Row],[Description]])</f>
        <v>Transit</v>
      </c>
    </row>
    <row r="216" spans="1:8" x14ac:dyDescent="0.25">
      <c r="A216" t="s">
        <v>130</v>
      </c>
      <c r="B216" s="1">
        <v>46228</v>
      </c>
      <c r="C216" s="1">
        <v>46229</v>
      </c>
      <c r="D216" t="s">
        <v>95</v>
      </c>
      <c r="E216">
        <v>82.99</v>
      </c>
      <c r="F216" t="s">
        <v>120</v>
      </c>
      <c r="G216" s="1">
        <v>46204</v>
      </c>
      <c r="H216" t="str" cm="1">
        <f t="array" ref="H216">Categorize(Tx[[#This Row],[Description]])</f>
        <v>Grocery</v>
      </c>
    </row>
    <row r="217" spans="1:8" x14ac:dyDescent="0.25">
      <c r="A217" t="s">
        <v>130</v>
      </c>
      <c r="B217" s="1">
        <v>46228</v>
      </c>
      <c r="C217" s="1">
        <v>46229</v>
      </c>
      <c r="D217" t="s">
        <v>15</v>
      </c>
      <c r="E217">
        <v>2.9</v>
      </c>
      <c r="F217" t="s">
        <v>70</v>
      </c>
      <c r="G217" s="1">
        <v>46204</v>
      </c>
      <c r="H217" t="str" cm="1">
        <f t="array" ref="H217">Categorize(Tx[[#This Row],[Description]])</f>
        <v>Transit</v>
      </c>
    </row>
    <row r="218" spans="1:8" x14ac:dyDescent="0.25">
      <c r="A218" t="s">
        <v>130</v>
      </c>
      <c r="B218" s="1">
        <v>46228</v>
      </c>
      <c r="C218" s="1">
        <v>46229</v>
      </c>
      <c r="D218" t="s">
        <v>15</v>
      </c>
      <c r="E218">
        <v>2.9</v>
      </c>
      <c r="F218" t="s">
        <v>70</v>
      </c>
      <c r="G218" s="1">
        <v>46204</v>
      </c>
      <c r="H218" t="str" cm="1">
        <f t="array" ref="H218">Categorize(Tx[[#This Row],[Description]])</f>
        <v>Transit</v>
      </c>
    </row>
    <row r="219" spans="1:8" x14ac:dyDescent="0.25">
      <c r="A219" t="s">
        <v>130</v>
      </c>
      <c r="B219" s="1">
        <v>46228</v>
      </c>
      <c r="C219" s="1">
        <v>46229</v>
      </c>
      <c r="D219" t="s">
        <v>15</v>
      </c>
      <c r="E219">
        <v>2.9</v>
      </c>
      <c r="F219" t="s">
        <v>70</v>
      </c>
      <c r="G219" s="1">
        <v>46204</v>
      </c>
      <c r="H219" t="str" cm="1">
        <f t="array" ref="H219">Categorize(Tx[[#This Row],[Description]])</f>
        <v>Transit</v>
      </c>
    </row>
    <row r="220" spans="1:8" x14ac:dyDescent="0.25">
      <c r="A220" t="s">
        <v>130</v>
      </c>
      <c r="B220" s="1">
        <v>46227</v>
      </c>
      <c r="C220" s="1">
        <v>46228</v>
      </c>
      <c r="D220" t="s">
        <v>17</v>
      </c>
      <c r="E220">
        <v>2.33</v>
      </c>
      <c r="F220" t="s">
        <v>73</v>
      </c>
      <c r="G220" s="1">
        <v>46204</v>
      </c>
      <c r="H220" t="str" cm="1">
        <f t="array" ref="H220">Categorize(Tx[[#This Row],[Description]])</f>
        <v>Parking</v>
      </c>
    </row>
    <row r="221" spans="1:8" x14ac:dyDescent="0.25">
      <c r="A221" t="s">
        <v>130</v>
      </c>
      <c r="B221" s="1">
        <v>46227</v>
      </c>
      <c r="C221" s="1">
        <v>46227</v>
      </c>
      <c r="D221" t="s">
        <v>97</v>
      </c>
      <c r="E221">
        <v>19.5</v>
      </c>
      <c r="F221" t="s">
        <v>29</v>
      </c>
      <c r="G221" s="1">
        <v>46204</v>
      </c>
      <c r="H221" t="str" cm="1">
        <f t="array" ref="H221">Categorize(Tx[[#This Row],[Description]])</f>
        <v>Transit</v>
      </c>
    </row>
    <row r="222" spans="1:8" x14ac:dyDescent="0.25">
      <c r="A222" t="s">
        <v>130</v>
      </c>
      <c r="B222" s="1">
        <v>46227</v>
      </c>
      <c r="C222" s="1">
        <v>46227</v>
      </c>
      <c r="D222" t="s">
        <v>112</v>
      </c>
      <c r="E222">
        <v>48.6</v>
      </c>
      <c r="F222" t="s">
        <v>71</v>
      </c>
      <c r="G222" s="1">
        <v>46204</v>
      </c>
      <c r="H222" t="str" cm="1">
        <f t="array" ref="H222">Categorize(Tx[[#This Row],[Description]])</f>
        <v>Dining</v>
      </c>
    </row>
    <row r="223" spans="1:8" x14ac:dyDescent="0.25">
      <c r="A223" t="s">
        <v>130</v>
      </c>
      <c r="B223" s="1">
        <v>46226</v>
      </c>
      <c r="C223" s="1">
        <v>46226</v>
      </c>
      <c r="D223" t="s">
        <v>15</v>
      </c>
      <c r="E223">
        <v>2.9</v>
      </c>
      <c r="F223" t="s">
        <v>70</v>
      </c>
      <c r="G223" s="1">
        <v>46204</v>
      </c>
      <c r="H223" t="str" cm="1">
        <f t="array" ref="H223">Categorize(Tx[[#This Row],[Description]])</f>
        <v>Transit</v>
      </c>
    </row>
    <row r="224" spans="1:8" x14ac:dyDescent="0.25">
      <c r="A224" t="s">
        <v>130</v>
      </c>
      <c r="B224" s="1">
        <v>46225</v>
      </c>
      <c r="C224" s="1">
        <v>46225</v>
      </c>
      <c r="D224" t="s">
        <v>105</v>
      </c>
      <c r="E224">
        <v>59.2</v>
      </c>
      <c r="F224" t="s">
        <v>74</v>
      </c>
      <c r="G224" s="1">
        <v>46204</v>
      </c>
      <c r="H224" t="str" cm="1">
        <f t="array" ref="H224">Categorize(Tx[[#This Row],[Description]])</f>
        <v>Dining</v>
      </c>
    </row>
    <row r="225" spans="1:8" x14ac:dyDescent="0.25">
      <c r="A225" t="s">
        <v>130</v>
      </c>
      <c r="B225" s="1">
        <v>46224</v>
      </c>
      <c r="C225" s="1">
        <v>46224</v>
      </c>
      <c r="D225" t="s">
        <v>17</v>
      </c>
      <c r="E225">
        <v>7.37</v>
      </c>
      <c r="F225" t="s">
        <v>73</v>
      </c>
      <c r="G225" s="1">
        <v>46204</v>
      </c>
      <c r="H225" t="str" cm="1">
        <f t="array" ref="H225">Categorize(Tx[[#This Row],[Description]])</f>
        <v>Parking</v>
      </c>
    </row>
    <row r="226" spans="1:8" x14ac:dyDescent="0.25">
      <c r="A226" t="s">
        <v>130</v>
      </c>
      <c r="B226" s="1">
        <v>46224</v>
      </c>
      <c r="C226" s="1">
        <v>46224</v>
      </c>
      <c r="D226" t="s">
        <v>7</v>
      </c>
      <c r="E226">
        <v>48.55</v>
      </c>
      <c r="F226" t="s">
        <v>63</v>
      </c>
      <c r="G226" s="1">
        <v>46204</v>
      </c>
      <c r="H226" t="str" cm="1">
        <f t="array" ref="H226">Categorize(Tx[[#This Row],[Description]])</f>
        <v>Home</v>
      </c>
    </row>
    <row r="227" spans="1:8" x14ac:dyDescent="0.25">
      <c r="A227" t="s">
        <v>130</v>
      </c>
      <c r="B227" s="1">
        <v>46224</v>
      </c>
      <c r="C227" s="1">
        <v>46226</v>
      </c>
      <c r="D227" t="s">
        <v>5</v>
      </c>
      <c r="E227">
        <v>15.99</v>
      </c>
      <c r="F227" t="s">
        <v>5</v>
      </c>
      <c r="G227" s="1">
        <v>46204</v>
      </c>
      <c r="H227" t="str" cm="1">
        <f t="array" ref="H227">Categorize(Tx[[#This Row],[Description]])</f>
        <v>Fees</v>
      </c>
    </row>
    <row r="228" spans="1:8" x14ac:dyDescent="0.25">
      <c r="A228" t="s">
        <v>130</v>
      </c>
      <c r="B228" s="1">
        <v>46223</v>
      </c>
      <c r="C228" s="1">
        <v>46225</v>
      </c>
      <c r="D228" t="s">
        <v>100</v>
      </c>
      <c r="E228">
        <v>12.96</v>
      </c>
      <c r="F228" t="s">
        <v>117</v>
      </c>
      <c r="G228" s="1">
        <v>46204</v>
      </c>
      <c r="H228" t="str" cm="1">
        <f t="array" ref="H228">Categorize(Tx[[#This Row],[Description]])</f>
        <v>Dining</v>
      </c>
    </row>
    <row r="229" spans="1:8" x14ac:dyDescent="0.25">
      <c r="A229" t="s">
        <v>130</v>
      </c>
      <c r="B229" s="1">
        <v>46223</v>
      </c>
      <c r="C229" s="1">
        <v>46223</v>
      </c>
      <c r="D229" t="s">
        <v>99</v>
      </c>
      <c r="E229">
        <v>32.200000000000003</v>
      </c>
      <c r="F229" t="s">
        <v>123</v>
      </c>
      <c r="G229" s="1">
        <v>46204</v>
      </c>
      <c r="H229" t="str" cm="1">
        <f t="array" ref="H229">Categorize(Tx[[#This Row],[Description]])</f>
        <v>Personal Care</v>
      </c>
    </row>
    <row r="230" spans="1:8" x14ac:dyDescent="0.25">
      <c r="A230" t="s">
        <v>130</v>
      </c>
      <c r="B230" s="1">
        <v>46223</v>
      </c>
      <c r="C230" s="1">
        <v>46223</v>
      </c>
      <c r="D230" t="s">
        <v>6</v>
      </c>
      <c r="E230">
        <v>28</v>
      </c>
      <c r="F230" t="s">
        <v>62</v>
      </c>
      <c r="G230" s="1">
        <v>46204</v>
      </c>
      <c r="H230" t="str" cm="1">
        <f t="array" ref="H230">Categorize(Tx[[#This Row],[Description]])</f>
        <v>Subscription</v>
      </c>
    </row>
    <row r="231" spans="1:8" x14ac:dyDescent="0.25">
      <c r="A231" t="s">
        <v>130</v>
      </c>
      <c r="B231" s="1">
        <v>46223</v>
      </c>
      <c r="C231" s="1">
        <v>46224</v>
      </c>
      <c r="D231" t="s">
        <v>15</v>
      </c>
      <c r="E231">
        <v>2.9</v>
      </c>
      <c r="F231" t="s">
        <v>70</v>
      </c>
      <c r="G231" s="1">
        <v>46204</v>
      </c>
      <c r="H231" t="str" cm="1">
        <f t="array" ref="H231">Categorize(Tx[[#This Row],[Description]])</f>
        <v>Transit</v>
      </c>
    </row>
    <row r="232" spans="1:8" x14ac:dyDescent="0.25">
      <c r="A232" t="s">
        <v>130</v>
      </c>
      <c r="B232" s="1">
        <v>46222</v>
      </c>
      <c r="C232" s="1">
        <v>46222</v>
      </c>
      <c r="D232" t="s">
        <v>18</v>
      </c>
      <c r="E232">
        <v>44.94</v>
      </c>
      <c r="F232" t="s">
        <v>76</v>
      </c>
      <c r="G232" s="1">
        <v>46204</v>
      </c>
      <c r="H232" t="str" cm="1">
        <f t="array" ref="H232">Categorize(Tx[[#This Row],[Description]])</f>
        <v>Gas</v>
      </c>
    </row>
    <row r="233" spans="1:8" x14ac:dyDescent="0.25">
      <c r="A233" t="s">
        <v>130</v>
      </c>
      <c r="B233" s="1">
        <v>46221</v>
      </c>
      <c r="C233" s="1">
        <v>46222</v>
      </c>
      <c r="D233" t="s">
        <v>9</v>
      </c>
      <c r="E233">
        <v>16.05</v>
      </c>
      <c r="F233" t="s">
        <v>37</v>
      </c>
      <c r="G233" s="1">
        <v>46204</v>
      </c>
      <c r="H233" t="str" cm="1">
        <f t="array" ref="H233">Categorize(Tx[[#This Row],[Description]])</f>
        <v>Cafe</v>
      </c>
    </row>
    <row r="234" spans="1:8" x14ac:dyDescent="0.25">
      <c r="A234" t="s">
        <v>130</v>
      </c>
      <c r="B234" s="1">
        <v>46221</v>
      </c>
      <c r="C234" s="1">
        <v>46223</v>
      </c>
      <c r="D234" t="s">
        <v>99</v>
      </c>
      <c r="E234">
        <v>27.53</v>
      </c>
      <c r="F234" t="s">
        <v>123</v>
      </c>
      <c r="G234" s="1">
        <v>46204</v>
      </c>
      <c r="H234" t="str" cm="1">
        <f t="array" ref="H234">Categorize(Tx[[#This Row],[Description]])</f>
        <v>Personal Care</v>
      </c>
    </row>
    <row r="235" spans="1:8" x14ac:dyDescent="0.25">
      <c r="A235" t="s">
        <v>130</v>
      </c>
      <c r="B235" s="1">
        <v>46218</v>
      </c>
      <c r="C235" s="1">
        <v>46219</v>
      </c>
      <c r="D235" t="s">
        <v>95</v>
      </c>
      <c r="E235">
        <v>41.56</v>
      </c>
      <c r="F235" t="s">
        <v>120</v>
      </c>
      <c r="G235" s="1">
        <v>46204</v>
      </c>
      <c r="H235" t="str" cm="1">
        <f t="array" ref="H235">Categorize(Tx[[#This Row],[Description]])</f>
        <v>Grocery</v>
      </c>
    </row>
    <row r="236" spans="1:8" x14ac:dyDescent="0.25">
      <c r="A236" t="s">
        <v>130</v>
      </c>
      <c r="B236" s="1">
        <v>46218</v>
      </c>
      <c r="C236" s="1">
        <v>46219</v>
      </c>
      <c r="D236" t="s">
        <v>98</v>
      </c>
      <c r="E236">
        <v>75.97</v>
      </c>
      <c r="F236" t="s">
        <v>121</v>
      </c>
      <c r="G236" s="1">
        <v>46204</v>
      </c>
      <c r="H236" t="str" cm="1">
        <f t="array" ref="H236">Categorize(Tx[[#This Row],[Description]])</f>
        <v>Grocery</v>
      </c>
    </row>
    <row r="237" spans="1:8" x14ac:dyDescent="0.25">
      <c r="A237" t="s">
        <v>130</v>
      </c>
      <c r="B237" s="1">
        <v>46217</v>
      </c>
      <c r="C237" s="1">
        <v>46217</v>
      </c>
      <c r="D237" t="s">
        <v>8</v>
      </c>
      <c r="E237">
        <v>42.07</v>
      </c>
      <c r="F237" t="s">
        <v>64</v>
      </c>
      <c r="G237" s="1">
        <v>46204</v>
      </c>
      <c r="H237" t="str" cm="1">
        <f t="array" ref="H237">Categorize(Tx[[#This Row],[Description]])</f>
        <v>Grocery</v>
      </c>
    </row>
    <row r="238" spans="1:8" x14ac:dyDescent="0.25">
      <c r="A238" t="s">
        <v>130</v>
      </c>
      <c r="B238" s="1">
        <v>46217</v>
      </c>
      <c r="C238" s="1">
        <v>46217</v>
      </c>
      <c r="D238" t="s">
        <v>101</v>
      </c>
      <c r="E238">
        <v>10.06</v>
      </c>
      <c r="F238" t="s">
        <v>119</v>
      </c>
      <c r="G238" s="1">
        <v>46204</v>
      </c>
      <c r="H238" t="str" cm="1">
        <f t="array" ref="H238">Categorize(Tx[[#This Row],[Description]])</f>
        <v>Parking</v>
      </c>
    </row>
    <row r="239" spans="1:8" x14ac:dyDescent="0.25">
      <c r="A239" t="s">
        <v>130</v>
      </c>
      <c r="B239" s="1">
        <v>46217</v>
      </c>
      <c r="C239" s="1">
        <v>46218</v>
      </c>
      <c r="D239" t="s">
        <v>14</v>
      </c>
      <c r="E239">
        <v>20.89</v>
      </c>
      <c r="F239" t="s">
        <v>69</v>
      </c>
      <c r="G239" s="1">
        <v>46204</v>
      </c>
      <c r="H239" t="str" cm="1">
        <f t="array" ref="H239">Categorize(Tx[[#This Row],[Description]])</f>
        <v>Car Share</v>
      </c>
    </row>
    <row r="240" spans="1:8" x14ac:dyDescent="0.25">
      <c r="A240" t="s">
        <v>130</v>
      </c>
      <c r="B240" s="1">
        <v>46217</v>
      </c>
      <c r="C240" s="1">
        <v>46219</v>
      </c>
      <c r="D240" t="s">
        <v>10</v>
      </c>
      <c r="E240">
        <v>79.22</v>
      </c>
      <c r="F240" t="s">
        <v>65</v>
      </c>
      <c r="G240" s="1">
        <v>46204</v>
      </c>
      <c r="H240" t="str" cm="1">
        <f t="array" ref="H240">Categorize(Tx[[#This Row],[Description]])</f>
        <v>Insurance</v>
      </c>
    </row>
    <row r="241" spans="1:8" x14ac:dyDescent="0.25">
      <c r="A241" t="s">
        <v>130</v>
      </c>
      <c r="B241" s="1">
        <v>46214</v>
      </c>
      <c r="C241" s="1">
        <v>46215</v>
      </c>
      <c r="D241" t="s">
        <v>96</v>
      </c>
      <c r="E241">
        <v>6.35</v>
      </c>
      <c r="F241" t="s">
        <v>114</v>
      </c>
      <c r="G241" s="1">
        <v>46204</v>
      </c>
      <c r="H241" t="str" cm="1">
        <f t="array" ref="H241">Categorize(Tx[[#This Row],[Description]])</f>
        <v>Cafe</v>
      </c>
    </row>
    <row r="242" spans="1:8" x14ac:dyDescent="0.25">
      <c r="A242" t="s">
        <v>130</v>
      </c>
      <c r="B242" s="1">
        <v>46214</v>
      </c>
      <c r="C242" s="1">
        <v>46216</v>
      </c>
      <c r="D242" t="s">
        <v>100</v>
      </c>
      <c r="E242">
        <v>22.81</v>
      </c>
      <c r="F242" t="s">
        <v>117</v>
      </c>
      <c r="G242" s="1">
        <v>46204</v>
      </c>
      <c r="H242" t="str" cm="1">
        <f t="array" ref="H242">Categorize(Tx[[#This Row],[Description]])</f>
        <v>Dining</v>
      </c>
    </row>
    <row r="243" spans="1:8" x14ac:dyDescent="0.25">
      <c r="A243" t="s">
        <v>130</v>
      </c>
      <c r="B243" s="1">
        <v>46213</v>
      </c>
      <c r="C243" s="1">
        <v>46213</v>
      </c>
      <c r="D243" t="s">
        <v>94</v>
      </c>
      <c r="E243">
        <v>11.27</v>
      </c>
      <c r="F243" t="s">
        <v>122</v>
      </c>
      <c r="G243" s="1">
        <v>46204</v>
      </c>
      <c r="H243" t="str" cm="1">
        <f t="array" ref="H243">Categorize(Tx[[#This Row],[Description]])</f>
        <v>Cafe</v>
      </c>
    </row>
    <row r="244" spans="1:8" x14ac:dyDescent="0.25">
      <c r="A244" t="s">
        <v>130</v>
      </c>
      <c r="B244" s="1">
        <v>46213</v>
      </c>
      <c r="C244" s="1">
        <v>46215</v>
      </c>
      <c r="D244" t="s">
        <v>18</v>
      </c>
      <c r="E244">
        <v>78.77</v>
      </c>
      <c r="F244" t="s">
        <v>76</v>
      </c>
      <c r="G244" s="1">
        <v>46204</v>
      </c>
      <c r="H244" t="str" cm="1">
        <f t="array" ref="H244">Categorize(Tx[[#This Row],[Description]])</f>
        <v>Gas</v>
      </c>
    </row>
    <row r="245" spans="1:8" x14ac:dyDescent="0.25">
      <c r="A245" t="s">
        <v>130</v>
      </c>
      <c r="B245" s="1">
        <v>46212</v>
      </c>
      <c r="C245" s="1">
        <v>46212</v>
      </c>
      <c r="D245" t="s">
        <v>18</v>
      </c>
      <c r="E245">
        <v>50.95</v>
      </c>
      <c r="F245" t="s">
        <v>76</v>
      </c>
      <c r="G245" s="1">
        <v>46204</v>
      </c>
      <c r="H245" t="str" cm="1">
        <f t="array" ref="H245">Categorize(Tx[[#This Row],[Description]])</f>
        <v>Gas</v>
      </c>
    </row>
    <row r="246" spans="1:8" x14ac:dyDescent="0.25">
      <c r="A246" t="s">
        <v>130</v>
      </c>
      <c r="B246" s="1">
        <v>46211</v>
      </c>
      <c r="C246" s="1">
        <v>46212</v>
      </c>
      <c r="D246" t="s">
        <v>98</v>
      </c>
      <c r="E246">
        <v>24.28</v>
      </c>
      <c r="F246" t="s">
        <v>121</v>
      </c>
      <c r="G246" s="1">
        <v>46204</v>
      </c>
      <c r="H246" t="str" cm="1">
        <f t="array" ref="H246">Categorize(Tx[[#This Row],[Description]])</f>
        <v>Grocery</v>
      </c>
    </row>
    <row r="247" spans="1:8" x14ac:dyDescent="0.25">
      <c r="A247" t="s">
        <v>130</v>
      </c>
      <c r="B247" s="1">
        <v>46211</v>
      </c>
      <c r="C247" s="1">
        <v>46211</v>
      </c>
      <c r="D247" t="s">
        <v>94</v>
      </c>
      <c r="E247">
        <v>11.47</v>
      </c>
      <c r="F247" t="s">
        <v>122</v>
      </c>
      <c r="G247" s="1">
        <v>46204</v>
      </c>
      <c r="H247" t="str" cm="1">
        <f t="array" ref="H247">Categorize(Tx[[#This Row],[Description]])</f>
        <v>Cafe</v>
      </c>
    </row>
    <row r="248" spans="1:8" x14ac:dyDescent="0.25">
      <c r="A248" t="s">
        <v>130</v>
      </c>
      <c r="B248" s="1">
        <v>46210</v>
      </c>
      <c r="C248" s="1">
        <v>46210</v>
      </c>
      <c r="D248" t="s">
        <v>97</v>
      </c>
      <c r="E248">
        <v>9.3800000000000008</v>
      </c>
      <c r="F248" t="s">
        <v>29</v>
      </c>
      <c r="G248" s="1">
        <v>46204</v>
      </c>
      <c r="H248" t="str" cm="1">
        <f t="array" ref="H248">Categorize(Tx[[#This Row],[Description]])</f>
        <v>Transit</v>
      </c>
    </row>
    <row r="249" spans="1:8" x14ac:dyDescent="0.25">
      <c r="A249" t="s">
        <v>130</v>
      </c>
      <c r="B249" s="1">
        <v>46210</v>
      </c>
      <c r="C249" s="1">
        <v>46211</v>
      </c>
      <c r="D249" t="s">
        <v>19</v>
      </c>
      <c r="E249">
        <v>52.84</v>
      </c>
      <c r="F249" t="s">
        <v>19</v>
      </c>
      <c r="G249" s="1">
        <v>46204</v>
      </c>
      <c r="H249" t="str" cm="1">
        <f t="array" ref="H249">Categorize(Tx[[#This Row],[Description]])</f>
        <v>Home</v>
      </c>
    </row>
    <row r="250" spans="1:8" x14ac:dyDescent="0.25">
      <c r="A250" t="s">
        <v>130</v>
      </c>
      <c r="B250" s="1">
        <v>46209</v>
      </c>
      <c r="C250" s="1">
        <v>46210</v>
      </c>
      <c r="D250" t="s">
        <v>95</v>
      </c>
      <c r="E250">
        <v>41.35</v>
      </c>
      <c r="F250" t="s">
        <v>120</v>
      </c>
      <c r="G250" s="1">
        <v>46204</v>
      </c>
      <c r="H250" t="str" cm="1">
        <f t="array" ref="H250">Categorize(Tx[[#This Row],[Description]])</f>
        <v>Grocery</v>
      </c>
    </row>
    <row r="251" spans="1:8" x14ac:dyDescent="0.25">
      <c r="A251" t="s">
        <v>130</v>
      </c>
      <c r="B251" s="1">
        <v>46209</v>
      </c>
      <c r="C251" s="1">
        <v>46211</v>
      </c>
      <c r="D251" t="s">
        <v>111</v>
      </c>
      <c r="E251">
        <v>51.81</v>
      </c>
      <c r="F251" t="s">
        <v>131</v>
      </c>
      <c r="G251" s="1">
        <v>46204</v>
      </c>
      <c r="H251" t="str" cm="1">
        <f t="array" ref="H251">Categorize(Tx[[#This Row],[Description]])</f>
        <v>Uncategorized</v>
      </c>
    </row>
    <row r="252" spans="1:8" x14ac:dyDescent="0.25">
      <c r="A252" t="s">
        <v>130</v>
      </c>
      <c r="B252" s="1">
        <v>46208</v>
      </c>
      <c r="C252" s="1">
        <v>46209</v>
      </c>
      <c r="D252" t="s">
        <v>11</v>
      </c>
      <c r="E252">
        <v>10.52</v>
      </c>
      <c r="F252" t="s">
        <v>66</v>
      </c>
      <c r="G252" s="1">
        <v>46204</v>
      </c>
      <c r="H252" t="str" cm="1">
        <f t="array" ref="H252">Categorize(Tx[[#This Row],[Description]])</f>
        <v>Car Share</v>
      </c>
    </row>
    <row r="253" spans="1:8" x14ac:dyDescent="0.25">
      <c r="A253" t="s">
        <v>130</v>
      </c>
      <c r="B253" s="1">
        <v>46207</v>
      </c>
      <c r="C253" s="1">
        <v>46207</v>
      </c>
      <c r="D253" t="s">
        <v>8</v>
      </c>
      <c r="E253">
        <v>68.66</v>
      </c>
      <c r="F253" t="s">
        <v>64</v>
      </c>
      <c r="G253" s="1">
        <v>46204</v>
      </c>
      <c r="H253" t="str" cm="1">
        <f t="array" ref="H253">Categorize(Tx[[#This Row],[Description]])</f>
        <v>Grocery</v>
      </c>
    </row>
    <row r="254" spans="1:8" x14ac:dyDescent="0.25">
      <c r="A254" t="s">
        <v>130</v>
      </c>
      <c r="B254" s="1">
        <v>46207</v>
      </c>
      <c r="C254" s="1">
        <v>46207</v>
      </c>
      <c r="D254" t="s">
        <v>96</v>
      </c>
      <c r="E254">
        <v>7.74</v>
      </c>
      <c r="F254" t="s">
        <v>114</v>
      </c>
      <c r="G254" s="1">
        <v>46204</v>
      </c>
      <c r="H254" t="str" cm="1">
        <f t="array" ref="H254">Categorize(Tx[[#This Row],[Description]])</f>
        <v>Cafe</v>
      </c>
    </row>
    <row r="255" spans="1:8" x14ac:dyDescent="0.25">
      <c r="A255" t="s">
        <v>130</v>
      </c>
      <c r="B255" s="1">
        <v>46207</v>
      </c>
      <c r="C255" s="1">
        <v>46208</v>
      </c>
      <c r="D255" t="s">
        <v>110</v>
      </c>
      <c r="E255">
        <v>43.85</v>
      </c>
      <c r="F255" t="s">
        <v>118</v>
      </c>
      <c r="G255" s="1">
        <v>46204</v>
      </c>
      <c r="H255" t="str" cm="1">
        <f t="array" ref="H255">Categorize(Tx[[#This Row],[Description]])</f>
        <v>Personal Care</v>
      </c>
    </row>
    <row r="256" spans="1:8" x14ac:dyDescent="0.25">
      <c r="A256" t="s">
        <v>130</v>
      </c>
      <c r="B256" s="1">
        <v>46206</v>
      </c>
      <c r="C256" s="1">
        <v>46207</v>
      </c>
      <c r="D256" t="s">
        <v>96</v>
      </c>
      <c r="E256">
        <v>4.21</v>
      </c>
      <c r="F256" t="s">
        <v>114</v>
      </c>
      <c r="G256" s="1">
        <v>46204</v>
      </c>
      <c r="H256" t="str" cm="1">
        <f t="array" ref="H256">Categorize(Tx[[#This Row],[Description]])</f>
        <v>Cafe</v>
      </c>
    </row>
    <row r="257" spans="1:8" x14ac:dyDescent="0.25">
      <c r="A257" t="s">
        <v>130</v>
      </c>
      <c r="B257" s="1">
        <v>46206</v>
      </c>
      <c r="C257" s="1">
        <v>46206</v>
      </c>
      <c r="D257" t="s">
        <v>17</v>
      </c>
      <c r="E257">
        <v>8.5500000000000007</v>
      </c>
      <c r="F257" t="s">
        <v>73</v>
      </c>
      <c r="G257" s="1">
        <v>46204</v>
      </c>
      <c r="H257" t="str" cm="1">
        <f t="array" ref="H257">Categorize(Tx[[#This Row],[Description]])</f>
        <v>Parking</v>
      </c>
    </row>
    <row r="258" spans="1:8" x14ac:dyDescent="0.25">
      <c r="A258" t="s">
        <v>130</v>
      </c>
      <c r="B258" s="1">
        <v>46205</v>
      </c>
      <c r="C258" s="1">
        <v>46205</v>
      </c>
      <c r="D258" t="s">
        <v>9</v>
      </c>
      <c r="E258">
        <v>16.309999999999999</v>
      </c>
      <c r="F258" t="s">
        <v>37</v>
      </c>
      <c r="G258" s="1">
        <v>46204</v>
      </c>
      <c r="H258" t="str" cm="1">
        <f t="array" ref="H258">Categorize(Tx[[#This Row],[Description]])</f>
        <v>Cafe</v>
      </c>
    </row>
    <row r="259" spans="1:8" x14ac:dyDescent="0.25">
      <c r="A259" t="s">
        <v>130</v>
      </c>
      <c r="B259" s="1">
        <v>46204</v>
      </c>
      <c r="C259" s="1">
        <v>46206</v>
      </c>
      <c r="D259" t="s">
        <v>104</v>
      </c>
      <c r="E259">
        <v>15.09</v>
      </c>
      <c r="F259" t="s">
        <v>75</v>
      </c>
      <c r="G259" s="1">
        <v>46204</v>
      </c>
      <c r="H259" t="str" cm="1">
        <f t="array" ref="H259">Categorize(Tx[[#This Row],[Description]])</f>
        <v>Entertainment</v>
      </c>
    </row>
    <row r="260" spans="1:8" x14ac:dyDescent="0.25">
      <c r="A260" t="s">
        <v>130</v>
      </c>
      <c r="B260" s="1">
        <v>46204</v>
      </c>
      <c r="C260" s="1">
        <v>46205</v>
      </c>
      <c r="D260" t="s">
        <v>109</v>
      </c>
      <c r="E260">
        <v>32.08</v>
      </c>
      <c r="F260" t="s">
        <v>127</v>
      </c>
      <c r="G260" s="1">
        <v>46204</v>
      </c>
      <c r="H260" t="str" cm="1">
        <f t="array" ref="H260">Categorize(Tx[[#This Row],[Description]])</f>
        <v>Uncategorized</v>
      </c>
    </row>
    <row r="261" spans="1:8" x14ac:dyDescent="0.25">
      <c r="A261" t="s">
        <v>132</v>
      </c>
      <c r="B261" s="1">
        <v>46264</v>
      </c>
      <c r="C261" s="1">
        <v>46264</v>
      </c>
      <c r="D261" t="s">
        <v>95</v>
      </c>
      <c r="E261">
        <v>29.68</v>
      </c>
      <c r="F261" t="s">
        <v>120</v>
      </c>
      <c r="G261" s="1">
        <v>46235</v>
      </c>
      <c r="H261" t="str" cm="1">
        <f t="array" ref="H261">Categorize(Tx[[#This Row],[Description]])</f>
        <v>Grocery</v>
      </c>
    </row>
    <row r="262" spans="1:8" x14ac:dyDescent="0.25">
      <c r="A262" t="s">
        <v>132</v>
      </c>
      <c r="B262" s="1">
        <v>46262</v>
      </c>
      <c r="C262" s="1">
        <v>46263</v>
      </c>
      <c r="D262" t="s">
        <v>99</v>
      </c>
      <c r="E262">
        <v>22.31</v>
      </c>
      <c r="F262" t="s">
        <v>123</v>
      </c>
      <c r="G262" s="1">
        <v>46235</v>
      </c>
      <c r="H262" t="str" cm="1">
        <f t="array" ref="H262">Categorize(Tx[[#This Row],[Description]])</f>
        <v>Personal Care</v>
      </c>
    </row>
    <row r="263" spans="1:8" x14ac:dyDescent="0.25">
      <c r="A263" t="s">
        <v>132</v>
      </c>
      <c r="B263" s="1">
        <v>46262</v>
      </c>
      <c r="C263" s="1">
        <v>46263</v>
      </c>
      <c r="D263" t="s">
        <v>106</v>
      </c>
      <c r="E263">
        <v>30.25</v>
      </c>
      <c r="F263" t="s">
        <v>125</v>
      </c>
      <c r="G263" s="1">
        <v>46235</v>
      </c>
      <c r="H263" t="str" cm="1">
        <f t="array" ref="H263">Categorize(Tx[[#This Row],[Description]])</f>
        <v>Uncategorized</v>
      </c>
    </row>
    <row r="264" spans="1:8" x14ac:dyDescent="0.25">
      <c r="A264" t="s">
        <v>132</v>
      </c>
      <c r="B264" s="1">
        <v>46261</v>
      </c>
      <c r="C264" s="1">
        <v>46262</v>
      </c>
      <c r="D264" t="s">
        <v>95</v>
      </c>
      <c r="E264">
        <v>26.38</v>
      </c>
      <c r="F264" t="s">
        <v>120</v>
      </c>
      <c r="G264" s="1">
        <v>46235</v>
      </c>
      <c r="H264" t="str" cm="1">
        <f t="array" ref="H264">Categorize(Tx[[#This Row],[Description]])</f>
        <v>Grocery</v>
      </c>
    </row>
    <row r="265" spans="1:8" x14ac:dyDescent="0.25">
      <c r="A265" t="s">
        <v>132</v>
      </c>
      <c r="B265" s="1">
        <v>46261</v>
      </c>
      <c r="C265" s="1">
        <v>46261</v>
      </c>
      <c r="D265" t="s">
        <v>19</v>
      </c>
      <c r="E265">
        <v>49.82</v>
      </c>
      <c r="F265" t="s">
        <v>19</v>
      </c>
      <c r="G265" s="1">
        <v>46235</v>
      </c>
      <c r="H265" t="str" cm="1">
        <f t="array" ref="H265">Categorize(Tx[[#This Row],[Description]])</f>
        <v>Home</v>
      </c>
    </row>
    <row r="266" spans="1:8" x14ac:dyDescent="0.25">
      <c r="A266" t="s">
        <v>132</v>
      </c>
      <c r="B266" s="1">
        <v>46260</v>
      </c>
      <c r="C266" s="1">
        <v>46260</v>
      </c>
      <c r="D266" t="s">
        <v>98</v>
      </c>
      <c r="E266">
        <v>60.59</v>
      </c>
      <c r="F266" t="s">
        <v>121</v>
      </c>
      <c r="G266" s="1">
        <v>46235</v>
      </c>
      <c r="H266" t="str" cm="1">
        <f t="array" ref="H266">Categorize(Tx[[#This Row],[Description]])</f>
        <v>Grocery</v>
      </c>
    </row>
    <row r="267" spans="1:8" x14ac:dyDescent="0.25">
      <c r="A267" t="s">
        <v>132</v>
      </c>
      <c r="B267" s="1">
        <v>46260</v>
      </c>
      <c r="C267" s="1">
        <v>46261</v>
      </c>
      <c r="D267" t="s">
        <v>9</v>
      </c>
      <c r="E267">
        <v>14.84</v>
      </c>
      <c r="F267" t="s">
        <v>37</v>
      </c>
      <c r="G267" s="1">
        <v>46235</v>
      </c>
      <c r="H267" t="str" cm="1">
        <f t="array" ref="H267">Categorize(Tx[[#This Row],[Description]])</f>
        <v>Cafe</v>
      </c>
    </row>
    <row r="268" spans="1:8" x14ac:dyDescent="0.25">
      <c r="A268" t="s">
        <v>132</v>
      </c>
      <c r="B268" s="1">
        <v>46259</v>
      </c>
      <c r="C268" s="1">
        <v>46259</v>
      </c>
      <c r="D268" t="s">
        <v>12</v>
      </c>
      <c r="E268">
        <v>64.7</v>
      </c>
      <c r="F268" t="s">
        <v>67</v>
      </c>
      <c r="G268" s="1">
        <v>46235</v>
      </c>
      <c r="H268" t="str" cm="1">
        <f t="array" ref="H268">Categorize(Tx[[#This Row],[Description]])</f>
        <v>Gas</v>
      </c>
    </row>
    <row r="269" spans="1:8" x14ac:dyDescent="0.25">
      <c r="A269" t="s">
        <v>132</v>
      </c>
      <c r="B269" s="1">
        <v>46259</v>
      </c>
      <c r="C269" s="1">
        <v>46259</v>
      </c>
      <c r="D269" t="s">
        <v>17</v>
      </c>
      <c r="E269">
        <v>4.78</v>
      </c>
      <c r="F269" t="s">
        <v>73</v>
      </c>
      <c r="G269" s="1">
        <v>46235</v>
      </c>
      <c r="H269" t="str" cm="1">
        <f t="array" ref="H269">Categorize(Tx[[#This Row],[Description]])</f>
        <v>Parking</v>
      </c>
    </row>
    <row r="270" spans="1:8" x14ac:dyDescent="0.25">
      <c r="A270" t="s">
        <v>132</v>
      </c>
      <c r="B270" s="1">
        <v>46259</v>
      </c>
      <c r="C270" s="1">
        <v>46260</v>
      </c>
      <c r="D270" t="s">
        <v>97</v>
      </c>
      <c r="E270">
        <v>19.53</v>
      </c>
      <c r="F270" t="s">
        <v>29</v>
      </c>
      <c r="G270" s="1">
        <v>46235</v>
      </c>
      <c r="H270" t="str" cm="1">
        <f t="array" ref="H270">Categorize(Tx[[#This Row],[Description]])</f>
        <v>Transit</v>
      </c>
    </row>
    <row r="271" spans="1:8" x14ac:dyDescent="0.25">
      <c r="A271" t="s">
        <v>132</v>
      </c>
      <c r="B271" s="1">
        <v>46259</v>
      </c>
      <c r="C271" s="1">
        <v>46260</v>
      </c>
      <c r="D271" t="s">
        <v>99</v>
      </c>
      <c r="E271">
        <v>27.81</v>
      </c>
      <c r="F271" t="s">
        <v>123</v>
      </c>
      <c r="G271" s="1">
        <v>46235</v>
      </c>
      <c r="H271" t="str" cm="1">
        <f t="array" ref="H271">Categorize(Tx[[#This Row],[Description]])</f>
        <v>Personal Care</v>
      </c>
    </row>
    <row r="272" spans="1:8" x14ac:dyDescent="0.25">
      <c r="A272" t="s">
        <v>132</v>
      </c>
      <c r="B272" s="1">
        <v>46258</v>
      </c>
      <c r="C272" s="1">
        <v>46260</v>
      </c>
      <c r="D272" t="s">
        <v>98</v>
      </c>
      <c r="E272">
        <v>25.82</v>
      </c>
      <c r="F272" t="s">
        <v>121</v>
      </c>
      <c r="G272" s="1">
        <v>46235</v>
      </c>
      <c r="H272" t="str" cm="1">
        <f t="array" ref="H272">Categorize(Tx[[#This Row],[Description]])</f>
        <v>Grocery</v>
      </c>
    </row>
    <row r="273" spans="1:8" x14ac:dyDescent="0.25">
      <c r="A273" t="s">
        <v>132</v>
      </c>
      <c r="B273" s="1">
        <v>46257</v>
      </c>
      <c r="C273" s="1">
        <v>46257</v>
      </c>
      <c r="D273" t="s">
        <v>12</v>
      </c>
      <c r="E273">
        <v>69.39</v>
      </c>
      <c r="F273" t="s">
        <v>67</v>
      </c>
      <c r="G273" s="1">
        <v>46235</v>
      </c>
      <c r="H273" t="str" cm="1">
        <f t="array" ref="H273">Categorize(Tx[[#This Row],[Description]])</f>
        <v>Gas</v>
      </c>
    </row>
    <row r="274" spans="1:8" x14ac:dyDescent="0.25">
      <c r="A274" t="s">
        <v>132</v>
      </c>
      <c r="B274" s="1">
        <v>46257</v>
      </c>
      <c r="C274" s="1">
        <v>46257</v>
      </c>
      <c r="D274" t="s">
        <v>97</v>
      </c>
      <c r="E274">
        <v>11.42</v>
      </c>
      <c r="F274" t="s">
        <v>29</v>
      </c>
      <c r="G274" s="1">
        <v>46235</v>
      </c>
      <c r="H274" t="str" cm="1">
        <f t="array" ref="H274">Categorize(Tx[[#This Row],[Description]])</f>
        <v>Transit</v>
      </c>
    </row>
    <row r="275" spans="1:8" x14ac:dyDescent="0.25">
      <c r="A275" t="s">
        <v>132</v>
      </c>
      <c r="B275" s="1">
        <v>46256</v>
      </c>
      <c r="C275" s="1">
        <v>46257</v>
      </c>
      <c r="D275" t="s">
        <v>17</v>
      </c>
      <c r="E275">
        <v>8.6999999999999993</v>
      </c>
      <c r="F275" t="s">
        <v>73</v>
      </c>
      <c r="G275" s="1">
        <v>46235</v>
      </c>
      <c r="H275" t="str" cm="1">
        <f t="array" ref="H275">Categorize(Tx[[#This Row],[Description]])</f>
        <v>Parking</v>
      </c>
    </row>
    <row r="276" spans="1:8" x14ac:dyDescent="0.25">
      <c r="A276" t="s">
        <v>132</v>
      </c>
      <c r="B276" s="1">
        <v>46255</v>
      </c>
      <c r="C276" s="1">
        <v>46256</v>
      </c>
      <c r="D276" t="s">
        <v>95</v>
      </c>
      <c r="E276">
        <v>41.85</v>
      </c>
      <c r="F276" t="s">
        <v>120</v>
      </c>
      <c r="G276" s="1">
        <v>46235</v>
      </c>
      <c r="H276" t="str" cm="1">
        <f t="array" ref="H276">Categorize(Tx[[#This Row],[Description]])</f>
        <v>Grocery</v>
      </c>
    </row>
    <row r="277" spans="1:8" x14ac:dyDescent="0.25">
      <c r="A277" t="s">
        <v>132</v>
      </c>
      <c r="B277" s="1">
        <v>46255</v>
      </c>
      <c r="C277" s="1">
        <v>46257</v>
      </c>
      <c r="D277" t="s">
        <v>94</v>
      </c>
      <c r="E277">
        <v>6</v>
      </c>
      <c r="F277" t="s">
        <v>122</v>
      </c>
      <c r="G277" s="1">
        <v>46235</v>
      </c>
      <c r="H277" t="str" cm="1">
        <f t="array" ref="H277">Categorize(Tx[[#This Row],[Description]])</f>
        <v>Cafe</v>
      </c>
    </row>
    <row r="278" spans="1:8" x14ac:dyDescent="0.25">
      <c r="A278" t="s">
        <v>132</v>
      </c>
      <c r="B278" s="1">
        <v>46255</v>
      </c>
      <c r="C278" s="1">
        <v>46255</v>
      </c>
      <c r="D278" t="s">
        <v>5</v>
      </c>
      <c r="E278">
        <v>15.99</v>
      </c>
      <c r="F278" t="s">
        <v>5</v>
      </c>
      <c r="G278" s="1">
        <v>46235</v>
      </c>
      <c r="H278" t="str" cm="1">
        <f t="array" ref="H278">Categorize(Tx[[#This Row],[Description]])</f>
        <v>Fees</v>
      </c>
    </row>
    <row r="279" spans="1:8" x14ac:dyDescent="0.25">
      <c r="A279" t="s">
        <v>132</v>
      </c>
      <c r="B279" s="1">
        <v>46254</v>
      </c>
      <c r="C279" s="1">
        <v>46254</v>
      </c>
      <c r="D279" t="s">
        <v>100</v>
      </c>
      <c r="E279">
        <v>16.41</v>
      </c>
      <c r="F279" t="s">
        <v>117</v>
      </c>
      <c r="G279" s="1">
        <v>46235</v>
      </c>
      <c r="H279" t="str" cm="1">
        <f t="array" ref="H279">Categorize(Tx[[#This Row],[Description]])</f>
        <v>Dining</v>
      </c>
    </row>
    <row r="280" spans="1:8" x14ac:dyDescent="0.25">
      <c r="A280" t="s">
        <v>132</v>
      </c>
      <c r="B280" s="1">
        <v>46254</v>
      </c>
      <c r="C280" s="1">
        <v>46255</v>
      </c>
      <c r="D280" t="s">
        <v>103</v>
      </c>
      <c r="E280">
        <v>109.1</v>
      </c>
      <c r="F280" t="s">
        <v>115</v>
      </c>
      <c r="G280" s="1">
        <v>46235</v>
      </c>
      <c r="H280" t="str" cm="1">
        <f t="array" ref="H280">Categorize(Tx[[#This Row],[Description]])</f>
        <v>Shopping</v>
      </c>
    </row>
    <row r="281" spans="1:8" x14ac:dyDescent="0.25">
      <c r="A281" t="s">
        <v>132</v>
      </c>
      <c r="B281" s="1">
        <v>46254</v>
      </c>
      <c r="C281" s="1">
        <v>46256</v>
      </c>
      <c r="D281" t="s">
        <v>6</v>
      </c>
      <c r="E281">
        <v>28</v>
      </c>
      <c r="F281" t="s">
        <v>62</v>
      </c>
      <c r="G281" s="1">
        <v>46235</v>
      </c>
      <c r="H281" t="str" cm="1">
        <f t="array" ref="H281">Categorize(Tx[[#This Row],[Description]])</f>
        <v>Subscription</v>
      </c>
    </row>
    <row r="282" spans="1:8" x14ac:dyDescent="0.25">
      <c r="A282" t="s">
        <v>132</v>
      </c>
      <c r="B282" s="1">
        <v>46253</v>
      </c>
      <c r="C282" s="1">
        <v>46254</v>
      </c>
      <c r="D282" t="s">
        <v>102</v>
      </c>
      <c r="E282">
        <v>67.72</v>
      </c>
      <c r="F282" t="s">
        <v>116</v>
      </c>
      <c r="G282" s="1">
        <v>46235</v>
      </c>
      <c r="H282" t="str" cm="1">
        <f t="array" ref="H282">Categorize(Tx[[#This Row],[Description]])</f>
        <v>Grocery</v>
      </c>
    </row>
    <row r="283" spans="1:8" x14ac:dyDescent="0.25">
      <c r="A283" t="s">
        <v>132</v>
      </c>
      <c r="B283" s="1">
        <v>46253</v>
      </c>
      <c r="C283" s="1">
        <v>46253</v>
      </c>
      <c r="D283" t="s">
        <v>19</v>
      </c>
      <c r="E283">
        <v>48.32</v>
      </c>
      <c r="F283" t="s">
        <v>19</v>
      </c>
      <c r="G283" s="1">
        <v>46235</v>
      </c>
      <c r="H283" t="str" cm="1">
        <f t="array" ref="H283">Categorize(Tx[[#This Row],[Description]])</f>
        <v>Home</v>
      </c>
    </row>
    <row r="284" spans="1:8" x14ac:dyDescent="0.25">
      <c r="A284" t="s">
        <v>132</v>
      </c>
      <c r="B284" s="1">
        <v>46250</v>
      </c>
      <c r="C284" s="1">
        <v>46250</v>
      </c>
      <c r="D284" t="s">
        <v>20</v>
      </c>
      <c r="E284">
        <v>43.49</v>
      </c>
      <c r="F284" t="s">
        <v>20</v>
      </c>
      <c r="G284" s="1">
        <v>46235</v>
      </c>
      <c r="H284" t="str" cm="1">
        <f t="array" ref="H284">Categorize(Tx[[#This Row],[Description]])</f>
        <v>Hobby</v>
      </c>
    </row>
    <row r="285" spans="1:8" x14ac:dyDescent="0.25">
      <c r="A285" t="s">
        <v>132</v>
      </c>
      <c r="B285" s="1">
        <v>46249</v>
      </c>
      <c r="C285" s="1">
        <v>46250</v>
      </c>
      <c r="D285" t="s">
        <v>95</v>
      </c>
      <c r="E285">
        <v>86.36</v>
      </c>
      <c r="F285" t="s">
        <v>120</v>
      </c>
      <c r="G285" s="1">
        <v>46235</v>
      </c>
      <c r="H285" t="str" cm="1">
        <f t="array" ref="H285">Categorize(Tx[[#This Row],[Description]])</f>
        <v>Grocery</v>
      </c>
    </row>
    <row r="286" spans="1:8" x14ac:dyDescent="0.25">
      <c r="A286" t="s">
        <v>132</v>
      </c>
      <c r="B286" s="1">
        <v>46249</v>
      </c>
      <c r="C286" s="1">
        <v>46251</v>
      </c>
      <c r="D286" t="s">
        <v>18</v>
      </c>
      <c r="E286">
        <v>70.39</v>
      </c>
      <c r="F286" t="s">
        <v>76</v>
      </c>
      <c r="G286" s="1">
        <v>46235</v>
      </c>
      <c r="H286" t="str" cm="1">
        <f t="array" ref="H286">Categorize(Tx[[#This Row],[Description]])</f>
        <v>Gas</v>
      </c>
    </row>
    <row r="287" spans="1:8" x14ac:dyDescent="0.25">
      <c r="A287" t="s">
        <v>132</v>
      </c>
      <c r="B287" s="1">
        <v>46249</v>
      </c>
      <c r="C287" s="1">
        <v>46249</v>
      </c>
      <c r="D287" t="s">
        <v>111</v>
      </c>
      <c r="E287">
        <v>39.53</v>
      </c>
      <c r="F287" t="s">
        <v>131</v>
      </c>
      <c r="G287" s="1">
        <v>46235</v>
      </c>
      <c r="H287" t="str" cm="1">
        <f t="array" ref="H287">Categorize(Tx[[#This Row],[Description]])</f>
        <v>Uncategorized</v>
      </c>
    </row>
    <row r="288" spans="1:8" x14ac:dyDescent="0.25">
      <c r="A288" t="s">
        <v>132</v>
      </c>
      <c r="B288" s="1">
        <v>46248</v>
      </c>
      <c r="C288" s="1">
        <v>46248</v>
      </c>
      <c r="D288" t="s">
        <v>13</v>
      </c>
      <c r="E288">
        <v>66.86</v>
      </c>
      <c r="F288" t="s">
        <v>68</v>
      </c>
      <c r="G288" s="1">
        <v>46235</v>
      </c>
      <c r="H288" t="str" cm="1">
        <f t="array" ref="H288">Categorize(Tx[[#This Row],[Description]])</f>
        <v>Grocery</v>
      </c>
    </row>
    <row r="289" spans="1:8" x14ac:dyDescent="0.25">
      <c r="A289" t="s">
        <v>132</v>
      </c>
      <c r="B289" s="1">
        <v>46248</v>
      </c>
      <c r="C289" s="1">
        <v>46249</v>
      </c>
      <c r="D289" t="s">
        <v>10</v>
      </c>
      <c r="E289">
        <v>79.22</v>
      </c>
      <c r="F289" t="s">
        <v>65</v>
      </c>
      <c r="G289" s="1">
        <v>46235</v>
      </c>
      <c r="H289" t="str" cm="1">
        <f t="array" ref="H289">Categorize(Tx[[#This Row],[Description]])</f>
        <v>Insurance</v>
      </c>
    </row>
    <row r="290" spans="1:8" x14ac:dyDescent="0.25">
      <c r="A290" t="s">
        <v>132</v>
      </c>
      <c r="B290" s="1">
        <v>46247</v>
      </c>
      <c r="C290" s="1">
        <v>46248</v>
      </c>
      <c r="D290" t="s">
        <v>14</v>
      </c>
      <c r="E290">
        <v>20.48</v>
      </c>
      <c r="F290" t="s">
        <v>69</v>
      </c>
      <c r="G290" s="1">
        <v>46235</v>
      </c>
      <c r="H290" t="str" cm="1">
        <f t="array" ref="H290">Categorize(Tx[[#This Row],[Description]])</f>
        <v>Car Share</v>
      </c>
    </row>
    <row r="291" spans="1:8" x14ac:dyDescent="0.25">
      <c r="A291" t="s">
        <v>132</v>
      </c>
      <c r="B291" s="1">
        <v>46246</v>
      </c>
      <c r="C291" s="1">
        <v>46246</v>
      </c>
      <c r="D291" t="s">
        <v>94</v>
      </c>
      <c r="E291">
        <v>6.42</v>
      </c>
      <c r="F291" t="s">
        <v>122</v>
      </c>
      <c r="G291" s="1">
        <v>46235</v>
      </c>
      <c r="H291" t="str" cm="1">
        <f t="array" ref="H291">Categorize(Tx[[#This Row],[Description]])</f>
        <v>Cafe</v>
      </c>
    </row>
    <row r="292" spans="1:8" x14ac:dyDescent="0.25">
      <c r="A292" t="s">
        <v>132</v>
      </c>
      <c r="B292" s="1">
        <v>46246</v>
      </c>
      <c r="C292" s="1">
        <v>46246</v>
      </c>
      <c r="D292" t="s">
        <v>96</v>
      </c>
      <c r="E292">
        <v>8.66</v>
      </c>
      <c r="F292" t="s">
        <v>114</v>
      </c>
      <c r="G292" s="1">
        <v>46235</v>
      </c>
      <c r="H292" t="str" cm="1">
        <f t="array" ref="H292">Categorize(Tx[[#This Row],[Description]])</f>
        <v>Cafe</v>
      </c>
    </row>
    <row r="293" spans="1:8" x14ac:dyDescent="0.25">
      <c r="A293" t="s">
        <v>132</v>
      </c>
      <c r="B293" s="1">
        <v>46246</v>
      </c>
      <c r="C293" s="1">
        <v>46248</v>
      </c>
      <c r="D293" t="s">
        <v>16</v>
      </c>
      <c r="E293">
        <v>39.450000000000003</v>
      </c>
      <c r="F293" t="s">
        <v>72</v>
      </c>
      <c r="G293" s="1">
        <v>46235</v>
      </c>
      <c r="H293" t="str" cm="1">
        <f t="array" ref="H293">Categorize(Tx[[#This Row],[Description]])</f>
        <v>Dining</v>
      </c>
    </row>
    <row r="294" spans="1:8" x14ac:dyDescent="0.25">
      <c r="A294" t="s">
        <v>132</v>
      </c>
      <c r="B294" s="1">
        <v>46245</v>
      </c>
      <c r="C294" s="1">
        <v>46246</v>
      </c>
      <c r="D294" t="s">
        <v>101</v>
      </c>
      <c r="E294">
        <v>8.06</v>
      </c>
      <c r="F294" t="s">
        <v>119</v>
      </c>
      <c r="G294" s="1">
        <v>46235</v>
      </c>
      <c r="H294" t="str" cm="1">
        <f t="array" ref="H294">Categorize(Tx[[#This Row],[Description]])</f>
        <v>Parking</v>
      </c>
    </row>
    <row r="295" spans="1:8" x14ac:dyDescent="0.25">
      <c r="A295" t="s">
        <v>132</v>
      </c>
      <c r="B295" s="1">
        <v>46243</v>
      </c>
      <c r="C295" s="1">
        <v>46243</v>
      </c>
      <c r="D295" t="s">
        <v>8</v>
      </c>
      <c r="E295">
        <v>52.16</v>
      </c>
      <c r="F295" t="s">
        <v>64</v>
      </c>
      <c r="G295" s="1">
        <v>46235</v>
      </c>
      <c r="H295" t="str" cm="1">
        <f t="array" ref="H295">Categorize(Tx[[#This Row],[Description]])</f>
        <v>Grocery</v>
      </c>
    </row>
    <row r="296" spans="1:8" x14ac:dyDescent="0.25">
      <c r="A296" t="s">
        <v>132</v>
      </c>
      <c r="B296" s="1">
        <v>46243</v>
      </c>
      <c r="C296" s="1">
        <v>46244</v>
      </c>
      <c r="D296" t="s">
        <v>11</v>
      </c>
      <c r="E296">
        <v>14.78</v>
      </c>
      <c r="F296" t="s">
        <v>66</v>
      </c>
      <c r="G296" s="1">
        <v>46235</v>
      </c>
      <c r="H296" t="str" cm="1">
        <f t="array" ref="H296">Categorize(Tx[[#This Row],[Description]])</f>
        <v>Car Share</v>
      </c>
    </row>
    <row r="297" spans="1:8" x14ac:dyDescent="0.25">
      <c r="A297" t="s">
        <v>132</v>
      </c>
      <c r="B297" s="1">
        <v>46243</v>
      </c>
      <c r="C297" s="1">
        <v>46243</v>
      </c>
      <c r="D297" t="s">
        <v>7</v>
      </c>
      <c r="E297">
        <v>119.7</v>
      </c>
      <c r="F297" t="s">
        <v>63</v>
      </c>
      <c r="G297" s="1">
        <v>46235</v>
      </c>
      <c r="H297" t="str" cm="1">
        <f t="array" ref="H297">Categorize(Tx[[#This Row],[Description]])</f>
        <v>Home</v>
      </c>
    </row>
    <row r="298" spans="1:8" x14ac:dyDescent="0.25">
      <c r="A298" t="s">
        <v>132</v>
      </c>
      <c r="B298" s="1">
        <v>46242</v>
      </c>
      <c r="C298" s="1">
        <v>46243</v>
      </c>
      <c r="D298" t="s">
        <v>94</v>
      </c>
      <c r="E298">
        <v>7.6</v>
      </c>
      <c r="F298" t="s">
        <v>122</v>
      </c>
      <c r="G298" s="1">
        <v>46235</v>
      </c>
      <c r="H298" t="str" cm="1">
        <f t="array" ref="H298">Categorize(Tx[[#This Row],[Description]])</f>
        <v>Cafe</v>
      </c>
    </row>
    <row r="299" spans="1:8" x14ac:dyDescent="0.25">
      <c r="A299" t="s">
        <v>132</v>
      </c>
      <c r="B299" s="1">
        <v>46241</v>
      </c>
      <c r="C299" s="1">
        <v>46243</v>
      </c>
      <c r="D299" t="s">
        <v>96</v>
      </c>
      <c r="E299">
        <v>6.29</v>
      </c>
      <c r="F299" t="s">
        <v>114</v>
      </c>
      <c r="G299" s="1">
        <v>46235</v>
      </c>
      <c r="H299" t="str" cm="1">
        <f t="array" ref="H299">Categorize(Tx[[#This Row],[Description]])</f>
        <v>Cafe</v>
      </c>
    </row>
    <row r="300" spans="1:8" x14ac:dyDescent="0.25">
      <c r="A300" t="s">
        <v>132</v>
      </c>
      <c r="B300" s="1">
        <v>46239</v>
      </c>
      <c r="C300" s="1">
        <v>46240</v>
      </c>
      <c r="D300" t="s">
        <v>96</v>
      </c>
      <c r="E300">
        <v>8.5</v>
      </c>
      <c r="F300" t="s">
        <v>114</v>
      </c>
      <c r="G300" s="1">
        <v>46235</v>
      </c>
      <c r="H300" t="str" cm="1">
        <f t="array" ref="H300">Categorize(Tx[[#This Row],[Description]])</f>
        <v>Cafe</v>
      </c>
    </row>
    <row r="301" spans="1:8" x14ac:dyDescent="0.25">
      <c r="A301" t="s">
        <v>132</v>
      </c>
      <c r="B301" s="1">
        <v>46239</v>
      </c>
      <c r="C301" s="1">
        <v>46239</v>
      </c>
      <c r="D301" t="s">
        <v>100</v>
      </c>
      <c r="E301">
        <v>17.63</v>
      </c>
      <c r="F301" t="s">
        <v>117</v>
      </c>
      <c r="G301" s="1">
        <v>46235</v>
      </c>
      <c r="H301" t="str" cm="1">
        <f t="array" ref="H301">Categorize(Tx[[#This Row],[Description]])</f>
        <v>Dining</v>
      </c>
    </row>
    <row r="302" spans="1:8" x14ac:dyDescent="0.25">
      <c r="A302" t="s">
        <v>132</v>
      </c>
      <c r="B302" s="1">
        <v>46238</v>
      </c>
      <c r="C302" s="1">
        <v>46240</v>
      </c>
      <c r="D302" t="s">
        <v>17</v>
      </c>
      <c r="E302">
        <v>6.53</v>
      </c>
      <c r="F302" t="s">
        <v>73</v>
      </c>
      <c r="G302" s="1">
        <v>46235</v>
      </c>
      <c r="H302" t="str" cm="1">
        <f t="array" ref="H302">Categorize(Tx[[#This Row],[Description]])</f>
        <v>Parking</v>
      </c>
    </row>
    <row r="303" spans="1:8" x14ac:dyDescent="0.25">
      <c r="A303" t="s">
        <v>132</v>
      </c>
      <c r="B303" s="1">
        <v>46238</v>
      </c>
      <c r="C303" s="1">
        <v>46238</v>
      </c>
      <c r="D303" t="s">
        <v>103</v>
      </c>
      <c r="E303">
        <v>67.66</v>
      </c>
      <c r="F303" t="s">
        <v>115</v>
      </c>
      <c r="G303" s="1">
        <v>46235</v>
      </c>
      <c r="H303" t="str" cm="1">
        <f t="array" ref="H303">Categorize(Tx[[#This Row],[Description]])</f>
        <v>Shopping</v>
      </c>
    </row>
    <row r="304" spans="1:8" x14ac:dyDescent="0.25">
      <c r="A304" t="s">
        <v>132</v>
      </c>
      <c r="B304" s="1">
        <v>46237</v>
      </c>
      <c r="C304" s="1">
        <v>46238</v>
      </c>
      <c r="D304" t="s">
        <v>12</v>
      </c>
      <c r="E304">
        <v>74.19</v>
      </c>
      <c r="F304" t="s">
        <v>67</v>
      </c>
      <c r="G304" s="1">
        <v>46235</v>
      </c>
      <c r="H304" t="str" cm="1">
        <f t="array" ref="H304">Categorize(Tx[[#This Row],[Description]])</f>
        <v>Gas</v>
      </c>
    </row>
    <row r="305" spans="1:8" x14ac:dyDescent="0.25">
      <c r="A305" t="s">
        <v>132</v>
      </c>
      <c r="B305" s="1">
        <v>46235</v>
      </c>
      <c r="C305" s="1">
        <v>46236</v>
      </c>
      <c r="D305" t="s">
        <v>8</v>
      </c>
      <c r="E305">
        <v>44.14</v>
      </c>
      <c r="F305" t="s">
        <v>64</v>
      </c>
      <c r="G305" s="1">
        <v>46235</v>
      </c>
      <c r="H305" t="str" cm="1">
        <f t="array" ref="H305">Categorize(Tx[[#This Row],[Description]])</f>
        <v>Grocery</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F09DC-1892-41AA-BF41-650925E2B819}">
  <dimension ref="A1:C36"/>
  <sheetViews>
    <sheetView workbookViewId="0">
      <selection activeCell="H7" sqref="H7"/>
    </sheetView>
  </sheetViews>
  <sheetFormatPr defaultRowHeight="15" x14ac:dyDescent="0.25"/>
  <cols>
    <col min="1" max="1" width="39.5703125" bestFit="1" customWidth="1"/>
    <col min="2" max="2" width="8.85546875" bestFit="1" customWidth="1"/>
    <col min="3" max="3" width="8.140625" bestFit="1" customWidth="1"/>
  </cols>
  <sheetData>
    <row r="1" spans="1:3" x14ac:dyDescent="0.25">
      <c r="A1" t="s">
        <v>3</v>
      </c>
      <c r="B1" t="s">
        <v>21</v>
      </c>
      <c r="C1" t="s">
        <v>22</v>
      </c>
    </row>
    <row r="2" spans="1:3" x14ac:dyDescent="0.25">
      <c r="A2" t="s">
        <v>94</v>
      </c>
      <c r="B2">
        <v>22</v>
      </c>
      <c r="C2">
        <v>176.49999999999997</v>
      </c>
    </row>
    <row r="3" spans="1:3" x14ac:dyDescent="0.25">
      <c r="A3" t="s">
        <v>95</v>
      </c>
      <c r="B3">
        <v>21</v>
      </c>
      <c r="C3">
        <v>1107.4499999999998</v>
      </c>
    </row>
    <row r="4" spans="1:3" x14ac:dyDescent="0.25">
      <c r="A4" t="s">
        <v>96</v>
      </c>
      <c r="B4">
        <v>19</v>
      </c>
      <c r="C4">
        <v>133.85999999999999</v>
      </c>
    </row>
    <row r="5" spans="1:3" x14ac:dyDescent="0.25">
      <c r="A5" t="s">
        <v>17</v>
      </c>
      <c r="B5">
        <v>19</v>
      </c>
      <c r="C5">
        <v>108.17</v>
      </c>
    </row>
    <row r="6" spans="1:3" x14ac:dyDescent="0.25">
      <c r="A6" t="s">
        <v>97</v>
      </c>
      <c r="B6">
        <v>17</v>
      </c>
      <c r="C6">
        <v>315.3</v>
      </c>
    </row>
    <row r="7" spans="1:3" x14ac:dyDescent="0.25">
      <c r="A7" t="s">
        <v>12</v>
      </c>
      <c r="B7">
        <v>14</v>
      </c>
      <c r="C7">
        <v>903.66000000000008</v>
      </c>
    </row>
    <row r="8" spans="1:3" x14ac:dyDescent="0.25">
      <c r="A8" t="s">
        <v>98</v>
      </c>
      <c r="B8">
        <v>13</v>
      </c>
      <c r="C8">
        <v>571.85000000000014</v>
      </c>
    </row>
    <row r="9" spans="1:3" x14ac:dyDescent="0.25">
      <c r="A9" t="s">
        <v>9</v>
      </c>
      <c r="B9">
        <v>13</v>
      </c>
      <c r="C9">
        <v>253.23</v>
      </c>
    </row>
    <row r="10" spans="1:3" x14ac:dyDescent="0.25">
      <c r="A10" t="s">
        <v>18</v>
      </c>
      <c r="B10">
        <v>12</v>
      </c>
      <c r="C10">
        <v>744.29000000000008</v>
      </c>
    </row>
    <row r="11" spans="1:3" x14ac:dyDescent="0.25">
      <c r="A11" t="s">
        <v>99</v>
      </c>
      <c r="B11">
        <v>11</v>
      </c>
      <c r="C11">
        <v>320.24</v>
      </c>
    </row>
    <row r="12" spans="1:3" x14ac:dyDescent="0.25">
      <c r="A12" t="s">
        <v>16</v>
      </c>
      <c r="B12">
        <v>11</v>
      </c>
      <c r="C12">
        <v>339.87</v>
      </c>
    </row>
    <row r="13" spans="1:3" x14ac:dyDescent="0.25">
      <c r="A13" t="s">
        <v>14</v>
      </c>
      <c r="B13">
        <v>10</v>
      </c>
      <c r="C13">
        <v>166.09</v>
      </c>
    </row>
    <row r="14" spans="1:3" x14ac:dyDescent="0.25">
      <c r="A14" t="s">
        <v>8</v>
      </c>
      <c r="B14">
        <v>10</v>
      </c>
      <c r="C14">
        <v>539.7299999999999</v>
      </c>
    </row>
    <row r="15" spans="1:3" x14ac:dyDescent="0.25">
      <c r="A15" t="s">
        <v>100</v>
      </c>
      <c r="B15">
        <v>9</v>
      </c>
      <c r="C15">
        <v>167.01</v>
      </c>
    </row>
    <row r="16" spans="1:3" x14ac:dyDescent="0.25">
      <c r="A16" t="s">
        <v>15</v>
      </c>
      <c r="B16">
        <v>8</v>
      </c>
      <c r="C16">
        <v>23.199999999999996</v>
      </c>
    </row>
    <row r="17" spans="1:3" x14ac:dyDescent="0.25">
      <c r="A17" t="s">
        <v>101</v>
      </c>
      <c r="B17">
        <v>7</v>
      </c>
      <c r="C17">
        <v>77.98</v>
      </c>
    </row>
    <row r="18" spans="1:3" x14ac:dyDescent="0.25">
      <c r="A18" t="s">
        <v>19</v>
      </c>
      <c r="B18">
        <v>7</v>
      </c>
      <c r="C18">
        <v>278.43</v>
      </c>
    </row>
    <row r="19" spans="1:3" x14ac:dyDescent="0.25">
      <c r="A19" t="s">
        <v>7</v>
      </c>
      <c r="B19">
        <v>6</v>
      </c>
      <c r="C19">
        <v>548.42999999999995</v>
      </c>
    </row>
    <row r="20" spans="1:3" x14ac:dyDescent="0.25">
      <c r="A20" t="s">
        <v>10</v>
      </c>
      <c r="B20">
        <v>6</v>
      </c>
      <c r="C20">
        <v>475.32000000000005</v>
      </c>
    </row>
    <row r="21" spans="1:3" x14ac:dyDescent="0.25">
      <c r="A21" t="s">
        <v>6</v>
      </c>
      <c r="B21">
        <v>6</v>
      </c>
      <c r="C21">
        <v>168</v>
      </c>
    </row>
    <row r="22" spans="1:3" x14ac:dyDescent="0.25">
      <c r="A22" t="s">
        <v>13</v>
      </c>
      <c r="B22">
        <v>6</v>
      </c>
      <c r="C22">
        <v>305.40999999999997</v>
      </c>
    </row>
    <row r="23" spans="1:3" x14ac:dyDescent="0.25">
      <c r="A23" t="s">
        <v>5</v>
      </c>
      <c r="B23">
        <v>6</v>
      </c>
      <c r="C23">
        <v>95.94</v>
      </c>
    </row>
    <row r="24" spans="1:3" x14ac:dyDescent="0.25">
      <c r="A24" t="s">
        <v>102</v>
      </c>
      <c r="B24">
        <v>6</v>
      </c>
      <c r="C24">
        <v>453.6</v>
      </c>
    </row>
    <row r="25" spans="1:3" x14ac:dyDescent="0.25">
      <c r="A25" t="s">
        <v>103</v>
      </c>
      <c r="B25">
        <v>6</v>
      </c>
      <c r="C25">
        <v>498.74</v>
      </c>
    </row>
    <row r="26" spans="1:3" x14ac:dyDescent="0.25">
      <c r="A26" t="s">
        <v>104</v>
      </c>
      <c r="B26">
        <v>5</v>
      </c>
      <c r="C26">
        <v>106.68</v>
      </c>
    </row>
    <row r="27" spans="1:3" x14ac:dyDescent="0.25">
      <c r="A27" t="s">
        <v>105</v>
      </c>
      <c r="B27">
        <v>5</v>
      </c>
      <c r="C27">
        <v>239.26999999999998</v>
      </c>
    </row>
    <row r="28" spans="1:3" x14ac:dyDescent="0.25">
      <c r="A28" t="s">
        <v>11</v>
      </c>
      <c r="B28">
        <v>5</v>
      </c>
      <c r="C28">
        <v>68.039999999999992</v>
      </c>
    </row>
    <row r="29" spans="1:3" x14ac:dyDescent="0.25">
      <c r="A29" t="s">
        <v>20</v>
      </c>
      <c r="B29">
        <v>5</v>
      </c>
      <c r="C29">
        <v>229.01999999999998</v>
      </c>
    </row>
    <row r="30" spans="1:3" x14ac:dyDescent="0.25">
      <c r="A30" t="s">
        <v>106</v>
      </c>
      <c r="B30">
        <v>4</v>
      </c>
      <c r="C30">
        <v>114.8</v>
      </c>
    </row>
    <row r="31" spans="1:3" x14ac:dyDescent="0.25">
      <c r="A31" t="s">
        <v>107</v>
      </c>
      <c r="B31">
        <v>4</v>
      </c>
      <c r="C31">
        <v>10.809999999999999</v>
      </c>
    </row>
    <row r="32" spans="1:3" x14ac:dyDescent="0.25">
      <c r="A32" t="s">
        <v>108</v>
      </c>
      <c r="B32">
        <v>3</v>
      </c>
      <c r="C32">
        <v>76.62</v>
      </c>
    </row>
    <row r="33" spans="1:3" x14ac:dyDescent="0.25">
      <c r="A33" t="s">
        <v>109</v>
      </c>
      <c r="B33">
        <v>3</v>
      </c>
      <c r="C33">
        <v>88.679999999999993</v>
      </c>
    </row>
    <row r="34" spans="1:3" x14ac:dyDescent="0.25">
      <c r="A34" t="s">
        <v>110</v>
      </c>
      <c r="B34">
        <v>2</v>
      </c>
      <c r="C34">
        <v>108.08000000000001</v>
      </c>
    </row>
    <row r="35" spans="1:3" x14ac:dyDescent="0.25">
      <c r="A35" t="s">
        <v>111</v>
      </c>
      <c r="B35">
        <v>2</v>
      </c>
      <c r="C35">
        <v>91.34</v>
      </c>
    </row>
    <row r="36" spans="1:3" x14ac:dyDescent="0.25">
      <c r="A36" t="s">
        <v>112</v>
      </c>
      <c r="B36">
        <v>1</v>
      </c>
      <c r="C36">
        <v>48.6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DED34-2AA1-4579-B56A-7436B382B95D}">
  <dimension ref="A1:B33"/>
  <sheetViews>
    <sheetView zoomScale="150" zoomScaleNormal="150" workbookViewId="0">
      <selection activeCell="D16" sqref="D16"/>
    </sheetView>
  </sheetViews>
  <sheetFormatPr defaultRowHeight="15" x14ac:dyDescent="0.25"/>
  <cols>
    <col min="1" max="1" width="42.140625" bestFit="1" customWidth="1"/>
    <col min="2" max="2" width="15.7109375" bestFit="1" customWidth="1"/>
  </cols>
  <sheetData>
    <row r="1" spans="1:2" x14ac:dyDescent="0.25">
      <c r="A1" t="s">
        <v>23</v>
      </c>
      <c r="B1" t="s">
        <v>24</v>
      </c>
    </row>
    <row r="2" spans="1:2" x14ac:dyDescent="0.25">
      <c r="A2" t="s">
        <v>25</v>
      </c>
      <c r="B2" t="s">
        <v>45</v>
      </c>
    </row>
    <row r="3" spans="1:2" x14ac:dyDescent="0.25">
      <c r="A3" t="s">
        <v>26</v>
      </c>
      <c r="B3" t="s">
        <v>46</v>
      </c>
    </row>
    <row r="4" spans="1:2" x14ac:dyDescent="0.25">
      <c r="A4" t="s">
        <v>27</v>
      </c>
      <c r="B4" t="s">
        <v>47</v>
      </c>
    </row>
    <row r="5" spans="1:2" x14ac:dyDescent="0.25">
      <c r="A5" t="s">
        <v>78</v>
      </c>
      <c r="B5" t="s">
        <v>47</v>
      </c>
    </row>
    <row r="6" spans="1:2" x14ac:dyDescent="0.25">
      <c r="A6" t="s">
        <v>29</v>
      </c>
      <c r="B6" t="s">
        <v>48</v>
      </c>
    </row>
    <row r="7" spans="1:2" x14ac:dyDescent="0.25">
      <c r="A7" t="s">
        <v>28</v>
      </c>
      <c r="B7" t="s">
        <v>48</v>
      </c>
    </row>
    <row r="8" spans="1:2" x14ac:dyDescent="0.25">
      <c r="A8" t="s">
        <v>30</v>
      </c>
      <c r="B8" t="s">
        <v>49</v>
      </c>
    </row>
    <row r="9" spans="1:2" x14ac:dyDescent="0.25">
      <c r="A9" t="s">
        <v>31</v>
      </c>
      <c r="B9" t="s">
        <v>49</v>
      </c>
    </row>
    <row r="10" spans="1:2" x14ac:dyDescent="0.25">
      <c r="A10" t="s">
        <v>32</v>
      </c>
      <c r="B10" t="s">
        <v>50</v>
      </c>
    </row>
    <row r="11" spans="1:2" x14ac:dyDescent="0.25">
      <c r="A11" t="s">
        <v>133</v>
      </c>
      <c r="B11" t="s">
        <v>50</v>
      </c>
    </row>
    <row r="12" spans="1:2" x14ac:dyDescent="0.25">
      <c r="A12" t="s">
        <v>33</v>
      </c>
      <c r="B12" t="s">
        <v>51</v>
      </c>
    </row>
    <row r="13" spans="1:2" x14ac:dyDescent="0.25">
      <c r="A13" t="s">
        <v>34</v>
      </c>
      <c r="B13" t="s">
        <v>51</v>
      </c>
    </row>
    <row r="14" spans="1:2" x14ac:dyDescent="0.25">
      <c r="A14" t="s">
        <v>35</v>
      </c>
      <c r="B14" t="s">
        <v>51</v>
      </c>
    </row>
    <row r="15" spans="1:2" x14ac:dyDescent="0.25">
      <c r="A15" t="s">
        <v>134</v>
      </c>
      <c r="B15" t="s">
        <v>51</v>
      </c>
    </row>
    <row r="16" spans="1:2" x14ac:dyDescent="0.25">
      <c r="A16" t="s">
        <v>135</v>
      </c>
      <c r="B16" t="s">
        <v>51</v>
      </c>
    </row>
    <row r="17" spans="1:2" x14ac:dyDescent="0.25">
      <c r="A17" t="s">
        <v>36</v>
      </c>
      <c r="B17" t="s">
        <v>52</v>
      </c>
    </row>
    <row r="18" spans="1:2" x14ac:dyDescent="0.25">
      <c r="A18" t="s">
        <v>136</v>
      </c>
      <c r="B18" t="s">
        <v>52</v>
      </c>
    </row>
    <row r="19" spans="1:2" x14ac:dyDescent="0.25">
      <c r="A19" t="s">
        <v>37</v>
      </c>
      <c r="B19" t="s">
        <v>52</v>
      </c>
    </row>
    <row r="20" spans="1:2" x14ac:dyDescent="0.25">
      <c r="A20" t="s">
        <v>137</v>
      </c>
      <c r="B20" t="s">
        <v>60</v>
      </c>
    </row>
    <row r="21" spans="1:2" x14ac:dyDescent="0.25">
      <c r="A21" t="s">
        <v>138</v>
      </c>
      <c r="B21" t="s">
        <v>60</v>
      </c>
    </row>
    <row r="22" spans="1:2" x14ac:dyDescent="0.25">
      <c r="A22" t="s">
        <v>74</v>
      </c>
      <c r="B22" t="s">
        <v>60</v>
      </c>
    </row>
    <row r="23" spans="1:2" x14ac:dyDescent="0.25">
      <c r="A23" t="s">
        <v>139</v>
      </c>
      <c r="B23" t="s">
        <v>60</v>
      </c>
    </row>
    <row r="24" spans="1:2" x14ac:dyDescent="0.25">
      <c r="A24" t="s">
        <v>38</v>
      </c>
      <c r="B24" t="s">
        <v>53</v>
      </c>
    </row>
    <row r="25" spans="1:2" x14ac:dyDescent="0.25">
      <c r="A25" t="s">
        <v>39</v>
      </c>
      <c r="B25" t="s">
        <v>53</v>
      </c>
    </row>
    <row r="26" spans="1:2" x14ac:dyDescent="0.25">
      <c r="A26" t="s">
        <v>140</v>
      </c>
      <c r="B26" t="s">
        <v>58</v>
      </c>
    </row>
    <row r="27" spans="1:2" x14ac:dyDescent="0.25">
      <c r="A27" t="s">
        <v>44</v>
      </c>
      <c r="B27" t="s">
        <v>58</v>
      </c>
    </row>
    <row r="28" spans="1:2" x14ac:dyDescent="0.25">
      <c r="A28" t="s">
        <v>40</v>
      </c>
      <c r="B28" t="s">
        <v>54</v>
      </c>
    </row>
    <row r="29" spans="1:2" x14ac:dyDescent="0.25">
      <c r="A29" t="s">
        <v>141</v>
      </c>
      <c r="B29" t="s">
        <v>79</v>
      </c>
    </row>
    <row r="30" spans="1:2" x14ac:dyDescent="0.25">
      <c r="A30" t="s">
        <v>43</v>
      </c>
      <c r="B30" t="s">
        <v>57</v>
      </c>
    </row>
    <row r="31" spans="1:2" x14ac:dyDescent="0.25">
      <c r="A31" t="s">
        <v>142</v>
      </c>
      <c r="B31" t="s">
        <v>77</v>
      </c>
    </row>
    <row r="32" spans="1:2" x14ac:dyDescent="0.25">
      <c r="A32" t="s">
        <v>41</v>
      </c>
      <c r="B32" t="s">
        <v>55</v>
      </c>
    </row>
    <row r="33" spans="1:2" x14ac:dyDescent="0.25">
      <c r="A33" t="s">
        <v>42</v>
      </c>
      <c r="B33" t="s">
        <v>56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BD515-50AF-4243-90BB-374614900E01}">
  <dimension ref="A1:H18"/>
  <sheetViews>
    <sheetView tabSelected="1" workbookViewId="0">
      <selection activeCell="J10" sqref="J10"/>
    </sheetView>
  </sheetViews>
  <sheetFormatPr defaultRowHeight="15" x14ac:dyDescent="0.25"/>
  <cols>
    <col min="1" max="1" width="42.140625" bestFit="1" customWidth="1"/>
    <col min="5" max="5" width="9.140625" style="5"/>
    <col min="7" max="7" width="9.140625" style="4"/>
    <col min="8" max="8" width="11.140625" bestFit="1" customWidth="1"/>
  </cols>
  <sheetData>
    <row r="1" spans="1:8" x14ac:dyDescent="0.25">
      <c r="A1" t="str" cm="1">
        <f t="array" ref="A1:A4">_xlfn.UNIQUE(_xlfn._xlws.FILTER(Tx[Merchant], Tx[Categorized] = "Uncategorized", "All categorized"))</f>
        <v>RIVERSIDE ARCADE</v>
      </c>
      <c r="D1" t="s">
        <v>24</v>
      </c>
      <c r="E1" s="5" t="s">
        <v>80</v>
      </c>
      <c r="F1" t="s">
        <v>21</v>
      </c>
      <c r="G1" s="4" t="s">
        <v>81</v>
      </c>
      <c r="H1" t="s">
        <v>143</v>
      </c>
    </row>
    <row r="2" spans="1:8" x14ac:dyDescent="0.25">
      <c r="A2" t="str">
        <v>PIXELWORKS STUDIO</v>
      </c>
      <c r="D2" t="str" cm="1">
        <f t="array" ref="D2:D18">_xlfn._xlws.SORT(_xlfn.UNIQUE(_xlfn._xlws.FILTER(Tx[Categorized], Tx[Categorized] &lt;&gt; "Payment")))</f>
        <v>Cafe</v>
      </c>
      <c r="E2" s="5" cm="1">
        <f t="array" ref="E2:E18">SUMIFS(Tx[Amount], Tx[Categorized],_xlfn.ANCHORARRAY( D2))</f>
        <v>563.58999999999992</v>
      </c>
      <c r="F2" cm="1">
        <f t="array" ref="F2:F18">COUNTIFS(Tx[Categorized],_xlfn.ANCHORARRAY( D2))</f>
        <v>54</v>
      </c>
      <c r="G2" s="4" cm="1">
        <f t="array" ref="G2:G18">_xlfn.ANCHORARRAY(E2)/SUM(_xlfn.ANCHORARRAY(E2))</f>
        <v>5.6618084354003902E-2</v>
      </c>
      <c r="H2" t="str" cm="1">
        <f t="array" ref="H2:H18">IF(_xlfn.ANCHORARRAY(G2)&gt;=0.1,"Major",IF(_xlfn.ANCHORARRAY(G2)&gt;=0.03,"Mid","Minor"))</f>
        <v>Mid</v>
      </c>
    </row>
    <row r="3" spans="1:8" x14ac:dyDescent="0.25">
      <c r="A3" t="str">
        <v>LUMEN BOOKSHOP</v>
      </c>
      <c r="D3" t="str">
        <v>Car Share</v>
      </c>
      <c r="E3" s="5">
        <v>234.12999999999997</v>
      </c>
      <c r="F3">
        <v>15</v>
      </c>
      <c r="G3" s="4">
        <v>2.3520630404732047E-2</v>
      </c>
      <c r="H3" t="str">
        <v>Minor</v>
      </c>
    </row>
    <row r="4" spans="1:8" x14ac:dyDescent="0.25">
      <c r="A4" t="str">
        <v>HARBOUR FLORIST</v>
      </c>
      <c r="D4" t="str">
        <v>Dining</v>
      </c>
      <c r="E4" s="5">
        <v>794.75</v>
      </c>
      <c r="F4">
        <v>26</v>
      </c>
      <c r="G4" s="4">
        <v>7.9840349439032995E-2</v>
      </c>
      <c r="H4" t="str">
        <v>Mid</v>
      </c>
    </row>
    <row r="5" spans="1:8" x14ac:dyDescent="0.25">
      <c r="D5" t="str">
        <v>Entertainment</v>
      </c>
      <c r="E5" s="5">
        <v>106.68</v>
      </c>
      <c r="F5">
        <v>5</v>
      </c>
      <c r="G5" s="4">
        <v>1.07170411804417E-2</v>
      </c>
      <c r="H5" t="str">
        <v>Minor</v>
      </c>
    </row>
    <row r="6" spans="1:8" x14ac:dyDescent="0.25">
      <c r="D6" t="str">
        <v>Fees</v>
      </c>
      <c r="E6" s="5">
        <v>95.94</v>
      </c>
      <c r="F6">
        <v>6</v>
      </c>
      <c r="G6" s="4">
        <v>9.6381039637380636E-3</v>
      </c>
      <c r="H6" t="str">
        <v>Minor</v>
      </c>
    </row>
    <row r="7" spans="1:8" x14ac:dyDescent="0.25">
      <c r="D7" t="str">
        <v>Gas</v>
      </c>
      <c r="E7" s="5">
        <v>1647.9500000000007</v>
      </c>
      <c r="F7">
        <v>26</v>
      </c>
      <c r="G7" s="4">
        <v>0.16555256855370179</v>
      </c>
      <c r="H7" t="str">
        <v>Major</v>
      </c>
    </row>
    <row r="8" spans="1:8" x14ac:dyDescent="0.25">
      <c r="D8" t="str">
        <v>Grocery</v>
      </c>
      <c r="E8" s="5">
        <v>2978.0399999999995</v>
      </c>
      <c r="F8">
        <v>56</v>
      </c>
      <c r="G8" s="4">
        <v>0.29917301571993432</v>
      </c>
      <c r="H8" t="str">
        <v>Major</v>
      </c>
    </row>
    <row r="9" spans="1:8" x14ac:dyDescent="0.25">
      <c r="D9" t="str">
        <v>Hobby</v>
      </c>
      <c r="E9" s="5">
        <v>229.01999999999998</v>
      </c>
      <c r="F9">
        <v>5</v>
      </c>
      <c r="G9" s="4">
        <v>2.3007281319317188E-2</v>
      </c>
      <c r="H9" t="str">
        <v>Minor</v>
      </c>
    </row>
    <row r="10" spans="1:8" x14ac:dyDescent="0.25">
      <c r="D10" t="str">
        <v>Home</v>
      </c>
      <c r="E10" s="5">
        <v>826.86000000000013</v>
      </c>
      <c r="F10">
        <v>13</v>
      </c>
      <c r="G10" s="4">
        <v>8.3066110521747519E-2</v>
      </c>
      <c r="H10" t="str">
        <v>Mid</v>
      </c>
    </row>
    <row r="11" spans="1:8" x14ac:dyDescent="0.25">
      <c r="D11" t="str">
        <v>Insurance</v>
      </c>
      <c r="E11" s="5">
        <v>475.32000000000005</v>
      </c>
      <c r="F11">
        <v>6</v>
      </c>
      <c r="G11" s="4">
        <v>4.7750506316906159E-2</v>
      </c>
      <c r="H11" t="str">
        <v>Mid</v>
      </c>
    </row>
    <row r="12" spans="1:8" x14ac:dyDescent="0.25">
      <c r="D12" t="str">
        <v>Online Shopping</v>
      </c>
      <c r="E12" s="5">
        <v>10.809999999999999</v>
      </c>
      <c r="F12">
        <v>4</v>
      </c>
      <c r="G12" s="4">
        <v>1.0859693959558939E-3</v>
      </c>
      <c r="H12" t="str">
        <v>Minor</v>
      </c>
    </row>
    <row r="13" spans="1:8" x14ac:dyDescent="0.25">
      <c r="D13" t="str">
        <v>Parking</v>
      </c>
      <c r="E13" s="5">
        <v>186.15</v>
      </c>
      <c r="F13">
        <v>26</v>
      </c>
      <c r="G13" s="4">
        <v>1.8700573825826981E-2</v>
      </c>
      <c r="H13" t="str">
        <v>Minor</v>
      </c>
    </row>
    <row r="14" spans="1:8" x14ac:dyDescent="0.25">
      <c r="D14" t="str">
        <v>Personal Care</v>
      </c>
      <c r="E14" s="5">
        <v>428.32000000000005</v>
      </c>
      <c r="F14">
        <v>13</v>
      </c>
      <c r="G14" s="4">
        <v>4.3028900247532705E-2</v>
      </c>
      <c r="H14" t="str">
        <v>Mid</v>
      </c>
    </row>
    <row r="15" spans="1:8" x14ac:dyDescent="0.25">
      <c r="D15" t="str">
        <v>Shopping</v>
      </c>
      <c r="E15" s="5">
        <v>498.74</v>
      </c>
      <c r="F15">
        <v>6</v>
      </c>
      <c r="G15" s="4">
        <v>5.0103272575304586E-2</v>
      </c>
      <c r="H15" t="str">
        <v>Mid</v>
      </c>
    </row>
    <row r="16" spans="1:8" x14ac:dyDescent="0.25">
      <c r="D16" t="str">
        <v>Subscription</v>
      </c>
      <c r="E16" s="5">
        <v>168</v>
      </c>
      <c r="F16">
        <v>6</v>
      </c>
      <c r="G16" s="4">
        <v>1.687723020542E-2</v>
      </c>
      <c r="H16" t="str">
        <v>Minor</v>
      </c>
    </row>
    <row r="17" spans="4:8" x14ac:dyDescent="0.25">
      <c r="D17" t="str">
        <v>Transit</v>
      </c>
      <c r="E17" s="5">
        <v>338.49999999999983</v>
      </c>
      <c r="F17">
        <v>25</v>
      </c>
      <c r="G17" s="4">
        <v>3.400560966984921E-2</v>
      </c>
      <c r="H17" t="str">
        <v>Mid</v>
      </c>
    </row>
    <row r="18" spans="4:8" x14ac:dyDescent="0.25">
      <c r="D18" t="str">
        <v>Uncategorized</v>
      </c>
      <c r="E18" s="5">
        <v>371.43999999999994</v>
      </c>
      <c r="F18">
        <v>12</v>
      </c>
      <c r="G18" s="4">
        <v>3.7314752306554781E-2</v>
      </c>
      <c r="H18" t="str">
        <v>Mid</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DFCB8-5C2A-4486-A4FD-CA296A7D933A}">
  <dimension ref="A3:B42"/>
  <sheetViews>
    <sheetView zoomScale="70" zoomScaleNormal="70" zoomScaleSheetLayoutView="80" workbookViewId="0">
      <selection activeCell="N42" sqref="N42"/>
    </sheetView>
  </sheetViews>
  <sheetFormatPr defaultRowHeight="15" x14ac:dyDescent="0.25"/>
  <cols>
    <col min="1" max="1" width="17.85546875" bestFit="1" customWidth="1"/>
    <col min="2" max="2" width="18.85546875" bestFit="1" customWidth="1"/>
  </cols>
  <sheetData>
    <row r="3" spans="1:2" x14ac:dyDescent="0.25">
      <c r="A3" s="2" t="s">
        <v>83</v>
      </c>
      <c r="B3" t="s">
        <v>86</v>
      </c>
    </row>
    <row r="4" spans="1:2" x14ac:dyDescent="0.25">
      <c r="A4" s="3" t="s">
        <v>51</v>
      </c>
      <c r="B4">
        <v>2978.0399999999995</v>
      </c>
    </row>
    <row r="5" spans="1:2" x14ac:dyDescent="0.25">
      <c r="A5" s="3" t="s">
        <v>50</v>
      </c>
      <c r="B5">
        <v>1647.9500000000007</v>
      </c>
    </row>
    <row r="6" spans="1:2" x14ac:dyDescent="0.25">
      <c r="A6" s="3" t="s">
        <v>53</v>
      </c>
      <c r="B6">
        <v>826.86000000000013</v>
      </c>
    </row>
    <row r="7" spans="1:2" x14ac:dyDescent="0.25">
      <c r="A7" s="3" t="s">
        <v>60</v>
      </c>
      <c r="B7">
        <v>794.75</v>
      </c>
    </row>
    <row r="8" spans="1:2" x14ac:dyDescent="0.25">
      <c r="A8" s="3" t="s">
        <v>52</v>
      </c>
      <c r="B8">
        <v>563.58999999999992</v>
      </c>
    </row>
    <row r="9" spans="1:2" x14ac:dyDescent="0.25">
      <c r="A9" s="3" t="s">
        <v>79</v>
      </c>
      <c r="B9">
        <v>498.74</v>
      </c>
    </row>
    <row r="10" spans="1:2" x14ac:dyDescent="0.25">
      <c r="A10" s="3" t="s">
        <v>56</v>
      </c>
      <c r="B10">
        <v>475.32000000000005</v>
      </c>
    </row>
    <row r="11" spans="1:2" x14ac:dyDescent="0.25">
      <c r="A11" s="3" t="s">
        <v>58</v>
      </c>
      <c r="B11">
        <v>428.32000000000005</v>
      </c>
    </row>
    <row r="12" spans="1:2" x14ac:dyDescent="0.25">
      <c r="A12" s="3" t="s">
        <v>84</v>
      </c>
      <c r="B12">
        <v>371.43999999999994</v>
      </c>
    </row>
    <row r="13" spans="1:2" x14ac:dyDescent="0.25">
      <c r="A13" s="3" t="s">
        <v>48</v>
      </c>
      <c r="B13">
        <v>338.49999999999983</v>
      </c>
    </row>
    <row r="14" spans="1:2" x14ac:dyDescent="0.25">
      <c r="A14" s="3" t="s">
        <v>49</v>
      </c>
      <c r="B14">
        <v>234.12999999999997</v>
      </c>
    </row>
    <row r="15" spans="1:2" x14ac:dyDescent="0.25">
      <c r="A15" s="3" t="s">
        <v>77</v>
      </c>
      <c r="B15">
        <v>229.01999999999998</v>
      </c>
    </row>
    <row r="16" spans="1:2" x14ac:dyDescent="0.25">
      <c r="A16" s="3" t="s">
        <v>47</v>
      </c>
      <c r="B16">
        <v>186.15</v>
      </c>
    </row>
    <row r="17" spans="1:2" x14ac:dyDescent="0.25">
      <c r="A17" s="3" t="s">
        <v>55</v>
      </c>
      <c r="B17">
        <v>168</v>
      </c>
    </row>
    <row r="18" spans="1:2" x14ac:dyDescent="0.25">
      <c r="A18" s="3" t="s">
        <v>57</v>
      </c>
      <c r="B18">
        <v>106.68</v>
      </c>
    </row>
    <row r="19" spans="1:2" x14ac:dyDescent="0.25">
      <c r="A19" s="3" t="s">
        <v>46</v>
      </c>
      <c r="B19">
        <v>95.94</v>
      </c>
    </row>
    <row r="20" spans="1:2" x14ac:dyDescent="0.25">
      <c r="A20" s="3" t="s">
        <v>54</v>
      </c>
      <c r="B20">
        <v>10.809999999999999</v>
      </c>
    </row>
    <row r="21" spans="1:2" x14ac:dyDescent="0.25">
      <c r="A21" s="3" t="s">
        <v>85</v>
      </c>
      <c r="B21">
        <v>9954.2400000000016</v>
      </c>
    </row>
    <row r="33" spans="1:2" x14ac:dyDescent="0.25">
      <c r="A33" s="2" t="s">
        <v>59</v>
      </c>
      <c r="B33" t="s">
        <v>93</v>
      </c>
    </row>
    <row r="35" spans="1:2" x14ac:dyDescent="0.25">
      <c r="A35" s="2" t="s">
        <v>83</v>
      </c>
      <c r="B35" t="s">
        <v>86</v>
      </c>
    </row>
    <row r="36" spans="1:2" x14ac:dyDescent="0.25">
      <c r="A36" s="3" t="s">
        <v>87</v>
      </c>
      <c r="B36">
        <v>1799.65</v>
      </c>
    </row>
    <row r="37" spans="1:2" x14ac:dyDescent="0.25">
      <c r="A37" s="3" t="s">
        <v>88</v>
      </c>
      <c r="B37">
        <v>1537.3099999999995</v>
      </c>
    </row>
    <row r="38" spans="1:2" x14ac:dyDescent="0.25">
      <c r="A38" s="3" t="s">
        <v>89</v>
      </c>
      <c r="B38">
        <v>1750.4199999999994</v>
      </c>
    </row>
    <row r="39" spans="1:2" x14ac:dyDescent="0.25">
      <c r="A39" s="3" t="s">
        <v>90</v>
      </c>
      <c r="B39">
        <v>1630.0900000000001</v>
      </c>
    </row>
    <row r="40" spans="1:2" x14ac:dyDescent="0.25">
      <c r="A40" s="3" t="s">
        <v>91</v>
      </c>
      <c r="B40">
        <v>1549.2599999999995</v>
      </c>
    </row>
    <row r="41" spans="1:2" x14ac:dyDescent="0.25">
      <c r="A41" s="3" t="s">
        <v>92</v>
      </c>
      <c r="B41">
        <v>1687.5100000000004</v>
      </c>
    </row>
    <row r="42" spans="1:2" x14ac:dyDescent="0.25">
      <c r="A42" s="3" t="s">
        <v>85</v>
      </c>
      <c r="B42">
        <v>9954.24</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7F0052C-5694-42E0-ADAA-A59262B3396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Counttotal</vt:lpstr>
      <vt:lpstr>Mapping</vt:lpstr>
      <vt:lpstr>Summarize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Sean Yoon</dc:creator>
  <cp:lastModifiedBy>Sean Yoon</cp:lastModifiedBy>
  <dcterms:created xsi:type="dcterms:W3CDTF">2026-09-27T02:08:45Z</dcterms:created>
  <dcterms:modified xsi:type="dcterms:W3CDTF">2026-09-28T04:35:45Z</dcterms:modified>
</cp:coreProperties>
</file>